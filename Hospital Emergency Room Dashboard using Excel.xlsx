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drawings/drawing5.xml" ContentType="application/vnd.openxmlformats-officedocument.drawingml.chartshapes+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saksh\OneDrive\Desktop\6th Sem\Data Analytics Excel project\"/>
    </mc:Choice>
  </mc:AlternateContent>
  <xr:revisionPtr revIDLastSave="0" documentId="13_ncr:1_{916192FF-6C5D-418D-8EA4-18403A3E4D86}" xr6:coauthVersionLast="47" xr6:coauthVersionMax="47" xr10:uidLastSave="{00000000-0000-0000-0000-000000000000}"/>
  <bookViews>
    <workbookView xWindow="-110" yWindow="-110" windowWidth="19420" windowHeight="11500" activeTab="1" xr2:uid="{78B1D029-9132-49EE-AA95-D5442A4061C1}"/>
  </bookViews>
  <sheets>
    <sheet name="Pivot Report" sheetId="1" r:id="rId1"/>
    <sheet name="Dashboard" sheetId="2" r:id="rId2"/>
  </sheets>
  <definedNames>
    <definedName name="Slicer_Date__Month">#N/A</definedName>
    <definedName name="Slicer_Date__Year">#N/A</definedName>
  </definedNames>
  <calcPr calcId="191029"/>
  <pivotCaches>
    <pivotCache cacheId="47" r:id="rId3"/>
    <pivotCache cacheId="50" r:id="rId4"/>
    <pivotCache cacheId="53" r:id="rId5"/>
    <pivotCache cacheId="56" r:id="rId6"/>
    <pivotCache cacheId="59" r:id="rId7"/>
    <pivotCache cacheId="62" r:id="rId8"/>
    <pivotCache cacheId="65" r:id="rId9"/>
    <pivotCache cacheId="68" r:id="rId10"/>
    <pivotCache cacheId="71" r:id="rId11"/>
    <pivotCache cacheId="74" r:id="rId12"/>
    <pivotCache cacheId="77"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911916c-103f-4b1f-891c-82d0b923abe3" name="Hospital Emergency Room Data" connection="Query - Hospital Emergency Room Data"/>
          <x15:modelTable id="Calender_Table_91af0215-030f-46b1-9d36-e3d135b3a372"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2" i="1" l="1" a="1"/>
  <c r="A52" i="1" s="1"/>
  <c r="A51" i="1" a="1"/>
  <c r="A5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7D1701-0B7C-4AC1-8759-0B3E36C86479}" name="Query - Calender_Table" description="Connection to the 'Calender_Table' query in the workbook." type="100" refreshedVersion="8" minRefreshableVersion="5">
    <extLst>
      <ext xmlns:x15="http://schemas.microsoft.com/office/spreadsheetml/2010/11/main" uri="{DE250136-89BD-433C-8126-D09CA5730AF9}">
        <x15:connection id="6e5b158d-5abb-4067-b5ab-3dc7e65a7d44"/>
      </ext>
    </extLst>
  </connection>
  <connection id="2" xr16:uid="{32AC2E36-C311-4253-A557-51BD93D49FC0}"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1f273206-eae3-4081-8537-68a5473b14ae"/>
      </ext>
    </extLst>
  </connection>
  <connection id="3" xr16:uid="{6EC912D7-69AB-4D48-9CCD-E6F15B82808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<sst xmlns="http://schemas.openxmlformats.org/spreadsheetml/2006/main" count="156" uniqueCount="76">
  <si>
    <t>Distinct Count of Patient Id</t>
  </si>
  <si>
    <t>No. of Patient</t>
  </si>
  <si>
    <t>Average of Patient Waittime</t>
  </si>
  <si>
    <t>Average of Patient Satisfaction Score</t>
  </si>
  <si>
    <t>Row Labels</t>
  </si>
  <si>
    <t>Grand Total</t>
  </si>
  <si>
    <t>None</t>
  </si>
  <si>
    <t>Admitted</t>
  </si>
  <si>
    <t>30-39</t>
  </si>
  <si>
    <t>Ontime</t>
  </si>
  <si>
    <t>50-59</t>
  </si>
  <si>
    <t>Delay</t>
  </si>
  <si>
    <t>0-09</t>
  </si>
  <si>
    <t>10-19</t>
  </si>
  <si>
    <t>60-69</t>
  </si>
  <si>
    <t>20-29</t>
  </si>
  <si>
    <t>40-49</t>
  </si>
  <si>
    <t>70-79</t>
  </si>
  <si>
    <t>Not Admitted</t>
  </si>
  <si>
    <t>General Practice</t>
  </si>
  <si>
    <t>Orthopedics</t>
  </si>
  <si>
    <t>Physiotherapy</t>
  </si>
  <si>
    <t>Cardiology</t>
  </si>
  <si>
    <t>Neurology</t>
  </si>
  <si>
    <t>Gastroenterology</t>
  </si>
  <si>
    <t>Renal</t>
  </si>
  <si>
    <t>Daily trendsof no. of patients</t>
  </si>
  <si>
    <t>average wait time</t>
  </si>
  <si>
    <t>Satisfaction score daily trend</t>
  </si>
  <si>
    <t>Count of Patient Admission Flag</t>
  </si>
  <si>
    <t>Count of Patient Admission Flag2</t>
  </si>
  <si>
    <t>Admission Status</t>
  </si>
  <si>
    <t>% Status</t>
  </si>
  <si>
    <t>Count of Age Group</t>
  </si>
  <si>
    <t>Count of Patient Attend Status</t>
  </si>
  <si>
    <t>Attended Status</t>
  </si>
  <si>
    <t>No. of Patient by Age Group</t>
  </si>
  <si>
    <t>Count of Patient Gender</t>
  </si>
  <si>
    <t>Female</t>
  </si>
  <si>
    <t>Male</t>
  </si>
  <si>
    <t>Count of Department Referral</t>
  </si>
  <si>
    <t>Gender</t>
  </si>
  <si>
    <t>2024</t>
  </si>
  <si>
    <t>Qtr3</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</si>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</sst>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4" tint="0.39997558519241921"/>
        <bgColor indexed="64"/>
      </patternFill>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3" borderId="0" xfId="0" applyFill="1"/>
    <xf numFmtId="0" fontId="0" fillId="0" borderId="0" xfId="0"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0" fillId="4" borderId="0" xfId="0" applyFill="1"/>
    <xf numFmtId="9" fontId="0" fillId="4" borderId="0" xfId="1" applyFont="1" applyFill="1"/>
    <xf numFmtId="0" fontId="0" fillId="0" borderId="0" xfId="0" applyAlignment="1">
      <alignment horizontal="left" indent="1"/>
    </xf>
    <xf numFmtId="0" fontId="0" fillId="0" borderId="0" xfId="0" applyAlignment="1">
      <alignment horizontal="left" indent="2"/>
    </xf>
    <xf numFmtId="0" fontId="0" fillId="0" borderId="0" xfId="0" applyNumberFormat="1"/>
  </cellXfs>
  <cellStyles count="2">
    <cellStyle name="Normal" xfId="0" builtinId="0"/>
    <cellStyle name="Percent" xfId="1" builtinId="5"/>
  </cellStyles>
  <dxfs count="47">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14" formatCode="0.00%"/>
    </dxf>
    <dxf>
      <numFmt numFmtId="1" formatCode="0"/>
    </dxf>
    <dxf>
      <numFmt numFmtId="2" formatCode="0.00"/>
    </dxf>
    <dxf>
      <numFmt numFmtId="2" formatCode="0.00"/>
    </dxf>
    <dxf>
      <font>
        <b/>
        <color theme="1"/>
      </font>
      <border>
        <bottom style="thin">
          <color theme="4"/>
        </bottom>
        <vertical/>
        <horizontal/>
      </border>
    </dxf>
    <dxf>
      <font>
        <b val="0"/>
        <i val="0"/>
        <sz val="7"/>
        <color theme="1"/>
      </font>
      <fill>
        <patternFill patternType="none">
          <bgColor auto="1"/>
        </patternFill>
      </fill>
      <border diagonalUp="0" diagonalDown="0">
        <left/>
        <right/>
        <top/>
        <bottom/>
        <vertical/>
        <horizontal/>
      </border>
    </dxf>
  </dxfs>
  <tableStyles count="1" defaultTableStyle="TableStyleMedium2" defaultPivotStyle="PivotStyleLight16">
    <tableStyle name="My Style" pivot="0" table="0" count="10" xr9:uid="{5041479E-7975-4515-AE32-06D68FBB0938}">
      <tableStyleElement type="wholeTable" dxfId="46"/>
      <tableStyleElement type="headerRow" dxfId="4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3.xml"/><Relationship Id="rId3" Type="http://schemas.openxmlformats.org/officeDocument/2006/relationships/pivotCacheDefinition" Target="pivotCache/pivotCacheDefinition1.xml"/><Relationship Id="rId21" Type="http://schemas.openxmlformats.org/officeDocument/2006/relationships/sheetMetadata" Target="metadata.xml"/><Relationship Id="rId34" Type="http://schemas.openxmlformats.org/officeDocument/2006/relationships/customXml" Target="../customXml/item11.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using Excel(AutoRecovered).xlsx]Pivot Report!PivotTable3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0.24933339854257347"/>
          <c:y val="7.2727272727272724E-2"/>
          <c:w val="0.64026203954648231"/>
          <c:h val="0.69443057422700216"/>
        </c:manualLayout>
      </c:layout>
      <c:barChart>
        <c:barDir val="bar"/>
        <c:grouping val="clustered"/>
        <c:varyColors val="0"/>
        <c:ser>
          <c:idx val="0"/>
          <c:order val="0"/>
          <c:tx>
            <c:strRef>
              <c:f>'Pivot Report'!$B$42</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A88A-4B8E-B485-5BB31FE8FAAC}"/>
              </c:ext>
            </c:extLst>
          </c:dPt>
          <c:dPt>
            <c:idx val="1"/>
            <c:invertIfNegative val="0"/>
            <c:bubble3D val="0"/>
            <c:extLst>
              <c:ext xmlns:c16="http://schemas.microsoft.com/office/drawing/2014/chart" uri="{C3380CC4-5D6E-409C-BE32-E72D297353CC}">
                <c16:uniqueId val="{00000001-A88A-4B8E-B485-5BB31FE8FAAC}"/>
              </c:ext>
            </c:extLst>
          </c:dPt>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Report'!$A$43:$A$45</c:f>
              <c:strCache>
                <c:ptCount val="2"/>
                <c:pt idx="0">
                  <c:v>Admitted</c:v>
                </c:pt>
                <c:pt idx="1">
                  <c:v>Not Admitted</c:v>
                </c:pt>
              </c:strCache>
            </c:strRef>
          </c:cat>
          <c:val>
            <c:numRef>
              <c:f>'Pivot Report'!$B$43:$B$45</c:f>
              <c:numCache>
                <c:formatCode>0</c:formatCode>
                <c:ptCount val="2"/>
                <c:pt idx="0">
                  <c:v>242</c:v>
                </c:pt>
                <c:pt idx="1">
                  <c:v>288</c:v>
                </c:pt>
              </c:numCache>
            </c:numRef>
          </c:val>
          <c:extLst>
            <c:ext xmlns:c16="http://schemas.microsoft.com/office/drawing/2014/chart" uri="{C3380CC4-5D6E-409C-BE32-E72D297353CC}">
              <c16:uniqueId val="{00000005-207D-423A-8B80-0AD3C5CC976F}"/>
            </c:ext>
          </c:extLst>
        </c:ser>
        <c:ser>
          <c:idx val="1"/>
          <c:order val="1"/>
          <c:tx>
            <c:strRef>
              <c:f>'Pivot Report'!$C$42</c:f>
              <c:strCache>
                <c:ptCount val="1"/>
                <c:pt idx="0">
                  <c:v>Count of Patient Admission Flag2</c:v>
                </c:pt>
              </c:strCache>
            </c:strRef>
          </c:tx>
          <c:spPr>
            <a:solidFill>
              <a:schemeClr val="accent2"/>
            </a:solidFill>
            <a:ln>
              <a:noFill/>
            </a:ln>
            <a:effectLst/>
          </c:spPr>
          <c:invertIfNegative val="0"/>
          <c:cat>
            <c:strRef>
              <c:f>'Pivot Report'!$A$43:$A$45</c:f>
              <c:strCache>
                <c:ptCount val="2"/>
                <c:pt idx="0">
                  <c:v>Admitted</c:v>
                </c:pt>
                <c:pt idx="1">
                  <c:v>Not Admitted</c:v>
                </c:pt>
              </c:strCache>
            </c:strRef>
          </c:cat>
          <c:val>
            <c:numRef>
              <c:f>'Pivot Report'!$C$43:$C$45</c:f>
              <c:numCache>
                <c:formatCode>0.00%</c:formatCode>
                <c:ptCount val="2"/>
                <c:pt idx="0">
                  <c:v>0.45660377358490567</c:v>
                </c:pt>
                <c:pt idx="1">
                  <c:v>0.54339622641509433</c:v>
                </c:pt>
              </c:numCache>
            </c:numRef>
          </c:val>
          <c:extLst>
            <c:ext xmlns:c16="http://schemas.microsoft.com/office/drawing/2014/chart" uri="{C3380CC4-5D6E-409C-BE32-E72D297353CC}">
              <c16:uniqueId val="{00000006-207D-423A-8B80-0AD3C5CC976F}"/>
            </c:ext>
          </c:extLst>
        </c:ser>
        <c:dLbls>
          <c:showLegendKey val="0"/>
          <c:showVal val="0"/>
          <c:showCatName val="0"/>
          <c:showSerName val="0"/>
          <c:showPercent val="0"/>
          <c:showBubbleSize val="0"/>
        </c:dLbls>
        <c:gapWidth val="0"/>
        <c:axId val="1915158815"/>
        <c:axId val="1915178975"/>
      </c:barChart>
      <c:catAx>
        <c:axId val="1915158815"/>
        <c:scaling>
          <c:orientation val="minMax"/>
        </c:scaling>
        <c:delete val="1"/>
        <c:axPos val="l"/>
        <c:numFmt formatCode="General" sourceLinked="1"/>
        <c:majorTickMark val="none"/>
        <c:minorTickMark val="none"/>
        <c:tickLblPos val="nextTo"/>
        <c:crossAx val="1915178975"/>
        <c:crosses val="autoZero"/>
        <c:auto val="1"/>
        <c:lblAlgn val="ctr"/>
        <c:lblOffset val="100"/>
        <c:noMultiLvlLbl val="0"/>
      </c:catAx>
      <c:valAx>
        <c:axId val="1915178975"/>
        <c:scaling>
          <c:orientation val="minMax"/>
        </c:scaling>
        <c:delete val="1"/>
        <c:axPos val="b"/>
        <c:numFmt formatCode="0" sourceLinked="1"/>
        <c:majorTickMark val="none"/>
        <c:minorTickMark val="none"/>
        <c:tickLblPos val="nextTo"/>
        <c:crossAx val="1915158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using Excel(AutoRecovered).xlsx]Pivot Report!PivotTable6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71351250892573E-3"/>
          <c:y val="0.27801952693634818"/>
          <c:w val="0.98574262881438279"/>
          <c:h val="0.70895730164142634"/>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Report'!$E$5:$E$36</c:f>
              <c:numCache>
                <c:formatCode>General</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extLst>
            <c:ext xmlns:c16="http://schemas.microsoft.com/office/drawing/2014/chart" uri="{C3380CC4-5D6E-409C-BE32-E72D297353CC}">
              <c16:uniqueId val="{00000003-9AF4-4FC3-9FC6-51512D161F81}"/>
            </c:ext>
          </c:extLst>
        </c:ser>
        <c:dLbls>
          <c:showLegendKey val="0"/>
          <c:showVal val="0"/>
          <c:showCatName val="0"/>
          <c:showSerName val="0"/>
          <c:showPercent val="0"/>
          <c:showBubbleSize val="0"/>
        </c:dLbls>
        <c:axId val="200067775"/>
        <c:axId val="200063935"/>
      </c:areaChart>
      <c:catAx>
        <c:axId val="200067775"/>
        <c:scaling>
          <c:orientation val="minMax"/>
        </c:scaling>
        <c:delete val="1"/>
        <c:axPos val="b"/>
        <c:numFmt formatCode="General" sourceLinked="1"/>
        <c:majorTickMark val="out"/>
        <c:minorTickMark val="none"/>
        <c:tickLblPos val="nextTo"/>
        <c:crossAx val="200063935"/>
        <c:crosses val="autoZero"/>
        <c:auto val="1"/>
        <c:lblAlgn val="ctr"/>
        <c:lblOffset val="100"/>
        <c:noMultiLvlLbl val="0"/>
      </c:catAx>
      <c:valAx>
        <c:axId val="200063935"/>
        <c:scaling>
          <c:orientation val="minMax"/>
        </c:scaling>
        <c:delete val="1"/>
        <c:axPos val="l"/>
        <c:numFmt formatCode="General" sourceLinked="1"/>
        <c:majorTickMark val="none"/>
        <c:minorTickMark val="none"/>
        <c:tickLblPos val="nextTo"/>
        <c:crossAx val="2000677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using Excel(AutoRecovered).xlsx]Pivot Report!PivotTable4</c:name>
    <c:fmtId val="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4.6718083210731676E-3"/>
          <c:y val="0.45332700184009023"/>
          <c:w val="0.98529141100530637"/>
          <c:h val="0.54667299815990977"/>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Report'!$I$5:$I$36</c:f>
              <c:numCache>
                <c:formatCode>0.00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3-0B99-41B5-9133-24083E714069}"/>
            </c:ext>
          </c:extLst>
        </c:ser>
        <c:dLbls>
          <c:showLegendKey val="0"/>
          <c:showVal val="0"/>
          <c:showCatName val="0"/>
          <c:showSerName val="0"/>
          <c:showPercent val="0"/>
          <c:showBubbleSize val="0"/>
        </c:dLbls>
        <c:axId val="1823753407"/>
        <c:axId val="1823753887"/>
      </c:areaChart>
      <c:catAx>
        <c:axId val="1823753407"/>
        <c:scaling>
          <c:orientation val="minMax"/>
        </c:scaling>
        <c:delete val="1"/>
        <c:axPos val="b"/>
        <c:numFmt formatCode="General" sourceLinked="1"/>
        <c:majorTickMark val="out"/>
        <c:minorTickMark val="none"/>
        <c:tickLblPos val="nextTo"/>
        <c:crossAx val="1823753887"/>
        <c:crosses val="autoZero"/>
        <c:auto val="1"/>
        <c:lblAlgn val="ctr"/>
        <c:lblOffset val="100"/>
        <c:noMultiLvlLbl val="0"/>
      </c:catAx>
      <c:valAx>
        <c:axId val="1823753887"/>
        <c:scaling>
          <c:orientation val="minMax"/>
        </c:scaling>
        <c:delete val="1"/>
        <c:axPos val="l"/>
        <c:numFmt formatCode="0.00" sourceLinked="1"/>
        <c:majorTickMark val="none"/>
        <c:minorTickMark val="none"/>
        <c:tickLblPos val="nextTo"/>
        <c:crossAx val="1823753407"/>
        <c:crosses val="autoZero"/>
        <c:crossBetween val="midCat"/>
      </c:valAx>
      <c:spPr>
        <a:noFill/>
        <a:ln>
          <a:noFill/>
        </a:ln>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using Excel(AutoRecovered).xlsx]Pivot Report!PivotTable5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191363427310981E-3"/>
          <c:y val="5.74518556445529E-2"/>
          <c:w val="0.98168857846811597"/>
          <c:h val="0.92270575864829207"/>
        </c:manualLayout>
      </c:layout>
      <c:areaChart>
        <c:grouping val="standard"/>
        <c:varyColors val="0"/>
        <c:ser>
          <c:idx val="0"/>
          <c:order val="0"/>
          <c:tx>
            <c:strRef>
              <c:f>'Pivot Report'!$M$4</c:f>
              <c:strCache>
                <c:ptCount val="1"/>
                <c:pt idx="0">
                  <c:v>Total</c:v>
                </c:pt>
              </c:strCache>
            </c:strRef>
          </c:tx>
          <c:spPr>
            <a:solidFill>
              <a:schemeClr val="accent1"/>
            </a:solidFill>
            <a:ln w="25400">
              <a:noFill/>
            </a:ln>
            <a:effectLst/>
          </c:spPr>
          <c:cat>
            <c:strRef>
              <c:f>'Pivot Report'!$L$5:$L$35</c:f>
              <c:strCache>
                <c:ptCount val="30"/>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strCache>
            </c:strRef>
          </c:cat>
          <c:val>
            <c:numRef>
              <c:f>'Pivot Report'!$M$5:$M$35</c:f>
              <c:numCache>
                <c:formatCode>0.00</c:formatCode>
                <c:ptCount val="30"/>
                <c:pt idx="0">
                  <c:v>4.5</c:v>
                </c:pt>
                <c:pt idx="1">
                  <c:v>4.666666666666667</c:v>
                </c:pt>
                <c:pt idx="2">
                  <c:v>7.4</c:v>
                </c:pt>
                <c:pt idx="3">
                  <c:v>4.5</c:v>
                </c:pt>
                <c:pt idx="4">
                  <c:v>4.8</c:v>
                </c:pt>
                <c:pt idx="5">
                  <c:v>4.75</c:v>
                </c:pt>
                <c:pt idx="6">
                  <c:v>2.25</c:v>
                </c:pt>
                <c:pt idx="7">
                  <c:v>4</c:v>
                </c:pt>
                <c:pt idx="8">
                  <c:v>6.666666666666667</c:v>
                </c:pt>
                <c:pt idx="9">
                  <c:v>2.6666666666666665</c:v>
                </c:pt>
                <c:pt idx="10">
                  <c:v>3.6666666666666665</c:v>
                </c:pt>
                <c:pt idx="11">
                  <c:v>4</c:v>
                </c:pt>
                <c:pt idx="12">
                  <c:v>7.5</c:v>
                </c:pt>
                <c:pt idx="13">
                  <c:v>5.5</c:v>
                </c:pt>
                <c:pt idx="14">
                  <c:v>7.5</c:v>
                </c:pt>
                <c:pt idx="15">
                  <c:v>5</c:v>
                </c:pt>
                <c:pt idx="16">
                  <c:v>3.5</c:v>
                </c:pt>
                <c:pt idx="17">
                  <c:v>6.5</c:v>
                </c:pt>
                <c:pt idx="18">
                  <c:v>5.833333333333333</c:v>
                </c:pt>
                <c:pt idx="19">
                  <c:v>4.5</c:v>
                </c:pt>
                <c:pt idx="20">
                  <c:v>3.75</c:v>
                </c:pt>
                <c:pt idx="21">
                  <c:v>10</c:v>
                </c:pt>
                <c:pt idx="22">
                  <c:v>4</c:v>
                </c:pt>
                <c:pt idx="23">
                  <c:v>8.3333333333333339</c:v>
                </c:pt>
                <c:pt idx="24">
                  <c:v>3.25</c:v>
                </c:pt>
                <c:pt idx="25">
                  <c:v>6</c:v>
                </c:pt>
                <c:pt idx="26">
                  <c:v>6</c:v>
                </c:pt>
                <c:pt idx="27">
                  <c:v>3.3333333333333335</c:v>
                </c:pt>
                <c:pt idx="28">
                  <c:v>6.666666666666667</c:v>
                </c:pt>
                <c:pt idx="29">
                  <c:v>5.625</c:v>
                </c:pt>
              </c:numCache>
            </c:numRef>
          </c:val>
          <c:extLst>
            <c:ext xmlns:c16="http://schemas.microsoft.com/office/drawing/2014/chart" uri="{C3380CC4-5D6E-409C-BE32-E72D297353CC}">
              <c16:uniqueId val="{00000003-EA35-4AE5-A964-14E8297BFCF7}"/>
            </c:ext>
          </c:extLst>
        </c:ser>
        <c:dLbls>
          <c:showLegendKey val="0"/>
          <c:showVal val="0"/>
          <c:showCatName val="0"/>
          <c:showSerName val="0"/>
          <c:showPercent val="0"/>
          <c:showBubbleSize val="0"/>
        </c:dLbls>
        <c:axId val="1915133855"/>
        <c:axId val="1915136735"/>
      </c:areaChart>
      <c:catAx>
        <c:axId val="1915133855"/>
        <c:scaling>
          <c:orientation val="minMax"/>
        </c:scaling>
        <c:delete val="1"/>
        <c:axPos val="b"/>
        <c:numFmt formatCode="General" sourceLinked="1"/>
        <c:majorTickMark val="out"/>
        <c:minorTickMark val="none"/>
        <c:tickLblPos val="nextTo"/>
        <c:crossAx val="1915136735"/>
        <c:crosses val="autoZero"/>
        <c:auto val="1"/>
        <c:lblAlgn val="ctr"/>
        <c:lblOffset val="100"/>
        <c:noMultiLvlLbl val="0"/>
      </c:catAx>
      <c:valAx>
        <c:axId val="1915136735"/>
        <c:scaling>
          <c:orientation val="minMax"/>
        </c:scaling>
        <c:delete val="1"/>
        <c:axPos val="l"/>
        <c:numFmt formatCode="0.00" sourceLinked="1"/>
        <c:majorTickMark val="none"/>
        <c:minorTickMark val="none"/>
        <c:tickLblPos val="nextTo"/>
        <c:crossAx val="191513385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using Excel(AutoRecovered).xlsx]Pivot Report!PivotTable9</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957554479750946E-3"/>
          <c:y val="1.2159362381345004E-2"/>
          <c:w val="0.99301260337095598"/>
          <c:h val="0.63027525845119559"/>
        </c:manualLayout>
      </c:layout>
      <c:barChart>
        <c:barDir val="col"/>
        <c:grouping val="clustered"/>
        <c:varyColors val="0"/>
        <c:ser>
          <c:idx val="0"/>
          <c:order val="0"/>
          <c:tx>
            <c:strRef>
              <c:f>'Pivot Report'!$B$58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Report'!$A$59:$A$67</c:f>
              <c:strCache>
                <c:ptCount val="8"/>
                <c:pt idx="0">
                  <c:v>0-09</c:v>
                </c:pt>
                <c:pt idx="1">
                  <c:v>10-19</c:v>
                </c:pt>
                <c:pt idx="2">
                  <c:v>20-29</c:v>
                </c:pt>
                <c:pt idx="3">
                  <c:v>30-39</c:v>
                </c:pt>
                <c:pt idx="4">
                  <c:v>40-49</c:v>
                </c:pt>
                <c:pt idx="5">
                  <c:v>50-59</c:v>
                </c:pt>
                <c:pt idx="6">
                  <c:v>60-69</c:v>
                </c:pt>
                <c:pt idx="7">
                  <c:v>70-79</c:v>
                </c:pt>
              </c:strCache>
            </c:strRef>
          </c:cat>
          <c:val>
            <c:numRef>
              <c:f>'Pivot Report'!$B$59:$B$67</c:f>
              <c:numCache>
                <c:formatCode>0</c:formatCode>
                <c:ptCount val="8"/>
                <c:pt idx="0">
                  <c:v>63</c:v>
                </c:pt>
                <c:pt idx="1">
                  <c:v>63</c:v>
                </c:pt>
                <c:pt idx="2">
                  <c:v>65</c:v>
                </c:pt>
                <c:pt idx="3">
                  <c:v>60</c:v>
                </c:pt>
                <c:pt idx="4">
                  <c:v>65</c:v>
                </c:pt>
                <c:pt idx="5">
                  <c:v>72</c:v>
                </c:pt>
                <c:pt idx="6">
                  <c:v>73</c:v>
                </c:pt>
                <c:pt idx="7">
                  <c:v>69</c:v>
                </c:pt>
              </c:numCache>
            </c:numRef>
          </c:val>
          <c:extLst>
            <c:ext xmlns:c16="http://schemas.microsoft.com/office/drawing/2014/chart" uri="{C3380CC4-5D6E-409C-BE32-E72D297353CC}">
              <c16:uniqueId val="{00000003-A6FB-43D2-8450-96541D4F5429}"/>
            </c:ext>
          </c:extLst>
        </c:ser>
        <c:dLbls>
          <c:showLegendKey val="0"/>
          <c:showVal val="0"/>
          <c:showCatName val="0"/>
          <c:showSerName val="0"/>
          <c:showPercent val="0"/>
          <c:showBubbleSize val="0"/>
        </c:dLbls>
        <c:gapWidth val="219"/>
        <c:overlap val="-27"/>
        <c:axId val="1823729887"/>
        <c:axId val="1823734207"/>
      </c:barChart>
      <c:catAx>
        <c:axId val="182372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823734207"/>
        <c:crosses val="autoZero"/>
        <c:auto val="1"/>
        <c:lblAlgn val="ctr"/>
        <c:lblOffset val="100"/>
        <c:noMultiLvlLbl val="0"/>
      </c:catAx>
      <c:valAx>
        <c:axId val="1823734207"/>
        <c:scaling>
          <c:orientation val="minMax"/>
        </c:scaling>
        <c:delete val="1"/>
        <c:axPos val="l"/>
        <c:numFmt formatCode="0" sourceLinked="1"/>
        <c:majorTickMark val="none"/>
        <c:minorTickMark val="none"/>
        <c:tickLblPos val="nextTo"/>
        <c:crossAx val="1823729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using Excel(AutoRecovered).xlsx]Pivot Report!PivotTable10</c:name>
    <c:fmtId val="12"/>
  </c:pivotSource>
  <c:chart>
    <c:autoTitleDeleted val="1"/>
    <c:pivotFmts>
      <c:pivotFmt>
        <c:idx val="0"/>
      </c:pivotFmt>
      <c:pivotFmt>
        <c:idx val="1"/>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1813027208727087"/>
          <c:y val="0.11116171956502785"/>
          <c:w val="0.60517029238282494"/>
          <c:h val="0.71716588649475832"/>
        </c:manualLayout>
      </c:layout>
      <c:pieChart>
        <c:varyColors val="1"/>
        <c:ser>
          <c:idx val="0"/>
          <c:order val="0"/>
          <c:tx>
            <c:strRef>
              <c:f>'Pivot Report'!$B$72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BF4-4FE3-9A40-19D39C6ED18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BF4-4FE3-9A40-19D39C6ED18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Report'!$A$73:$A$75</c:f>
              <c:strCache>
                <c:ptCount val="2"/>
                <c:pt idx="0">
                  <c:v>Delay</c:v>
                </c:pt>
                <c:pt idx="1">
                  <c:v>Ontime</c:v>
                </c:pt>
              </c:strCache>
            </c:strRef>
          </c:cat>
          <c:val>
            <c:numRef>
              <c:f>'Pivot Report'!$B$73:$B$75</c:f>
              <c:numCache>
                <c:formatCode>0</c:formatCode>
                <c:ptCount val="2"/>
                <c:pt idx="0">
                  <c:v>323</c:v>
                </c:pt>
                <c:pt idx="1">
                  <c:v>207</c:v>
                </c:pt>
              </c:numCache>
            </c:numRef>
          </c:val>
          <c:extLst>
            <c:ext xmlns:c16="http://schemas.microsoft.com/office/drawing/2014/chart" uri="{C3380CC4-5D6E-409C-BE32-E72D297353CC}">
              <c16:uniqueId val="{0000000D-E88A-420D-ACC1-0A677062F86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4931629352444981"/>
          <c:y val="8.0647828296038441E-4"/>
          <c:w val="0.52496036024608361"/>
          <c:h val="0.1272852723386216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using Excel(AutoRecovered).xlsx]Pivot Report!PivotTable12</c:name>
    <c:fmtId val="23"/>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0360133895935667"/>
          <c:y val="0.16348457254544577"/>
          <c:w val="0.56470354362519404"/>
          <c:h val="0.64511946222584937"/>
        </c:manualLayout>
      </c:layout>
      <c:doughnutChart>
        <c:varyColors val="1"/>
        <c:ser>
          <c:idx val="0"/>
          <c:order val="0"/>
          <c:tx>
            <c:strRef>
              <c:f>'Pivot Report'!$B$79</c:f>
              <c:strCache>
                <c:ptCount val="1"/>
                <c:pt idx="0">
                  <c:v>Total</c:v>
                </c:pt>
              </c:strCache>
            </c:strRef>
          </c:tx>
          <c:cat>
            <c:strRef>
              <c:f>'Pivot Report'!$A$80:$A$82</c:f>
              <c:strCache>
                <c:ptCount val="2"/>
                <c:pt idx="0">
                  <c:v>Female</c:v>
                </c:pt>
                <c:pt idx="1">
                  <c:v>Male</c:v>
                </c:pt>
              </c:strCache>
            </c:strRef>
          </c:cat>
          <c:val>
            <c:numRef>
              <c:f>'Pivot Report'!$B$80:$B$82</c:f>
              <c:numCache>
                <c:formatCode>0</c:formatCode>
                <c:ptCount val="2"/>
                <c:pt idx="0">
                  <c:v>259</c:v>
                </c:pt>
                <c:pt idx="1">
                  <c:v>271</c:v>
                </c:pt>
              </c:numCache>
            </c:numRef>
          </c:val>
          <c:extLst>
            <c:ext xmlns:c16="http://schemas.microsoft.com/office/drawing/2014/chart" uri="{C3380CC4-5D6E-409C-BE32-E72D297353CC}">
              <c16:uniqueId val="{00000011-03AB-4479-BAF1-4D87E5C45DB7}"/>
            </c:ext>
          </c:extLst>
        </c:ser>
        <c:dLbls>
          <c:showLegendKey val="0"/>
          <c:showVal val="0"/>
          <c:showCatName val="0"/>
          <c:showSerName val="0"/>
          <c:showPercent val="0"/>
          <c:showBubbleSize val="0"/>
          <c:showLeaderLines val="1"/>
        </c:dLbls>
        <c:firstSliceAng val="0"/>
        <c:holeSize val="75"/>
      </c:doughnutChart>
      <c:spPr>
        <a:noFill/>
        <a:ln>
          <a:noFill/>
        </a:ln>
      </c:spPr>
    </c:plotArea>
    <c:legend>
      <c:legendPos val="r"/>
      <c:legendEntry>
        <c:idx val="0"/>
        <c:txPr>
          <a:bodyPr rot="0" spcFirstLastPara="1" vertOverflow="ellipsis" vert="horz" wrap="square" anchor="ctr" anchorCtr="1"/>
          <a:lstStyle/>
          <a:p>
            <a:pPr>
              <a:defRPr sz="75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75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12413461415141527"/>
          <c:y val="3.5971997767088586E-2"/>
          <c:w val="0.66411999333085381"/>
          <c:h val="0.118625616651306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using Excel(AutoRecovered).xlsx]Pivot Report!PivotTable15</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50927280571612"/>
          <c:y val="4.969015385036743E-2"/>
          <c:w val="0.73849072719428388"/>
          <c:h val="0.75983092305655742"/>
        </c:manualLayout>
      </c:layout>
      <c:barChart>
        <c:barDir val="bar"/>
        <c:grouping val="clustered"/>
        <c:varyColors val="0"/>
        <c:ser>
          <c:idx val="0"/>
          <c:order val="0"/>
          <c:tx>
            <c:strRef>
              <c:f>'Pivot Report'!$B$96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Report'!$A$97:$A$105</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Report'!$B$97:$B$105</c:f>
              <c:numCache>
                <c:formatCode>0</c:formatCode>
                <c:ptCount val="8"/>
                <c:pt idx="0">
                  <c:v>7</c:v>
                </c:pt>
                <c:pt idx="1">
                  <c:v>10</c:v>
                </c:pt>
                <c:pt idx="2">
                  <c:v>12</c:v>
                </c:pt>
                <c:pt idx="3">
                  <c:v>14</c:v>
                </c:pt>
                <c:pt idx="4">
                  <c:v>18</c:v>
                </c:pt>
                <c:pt idx="5">
                  <c:v>53</c:v>
                </c:pt>
                <c:pt idx="6">
                  <c:v>109</c:v>
                </c:pt>
                <c:pt idx="7">
                  <c:v>307</c:v>
                </c:pt>
              </c:numCache>
            </c:numRef>
          </c:val>
          <c:extLst>
            <c:ext xmlns:c16="http://schemas.microsoft.com/office/drawing/2014/chart" uri="{C3380CC4-5D6E-409C-BE32-E72D297353CC}">
              <c16:uniqueId val="{00000004-A3E4-4D29-88A5-9CD870E14E25}"/>
            </c:ext>
          </c:extLst>
        </c:ser>
        <c:dLbls>
          <c:showLegendKey val="0"/>
          <c:showVal val="0"/>
          <c:showCatName val="0"/>
          <c:showSerName val="0"/>
          <c:showPercent val="0"/>
          <c:showBubbleSize val="0"/>
        </c:dLbls>
        <c:gapWidth val="50"/>
        <c:axId val="1437705087"/>
        <c:axId val="835547375"/>
      </c:barChart>
      <c:catAx>
        <c:axId val="1437705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35547375"/>
        <c:crosses val="autoZero"/>
        <c:auto val="1"/>
        <c:lblAlgn val="ctr"/>
        <c:lblOffset val="100"/>
        <c:noMultiLvlLbl val="0"/>
      </c:catAx>
      <c:valAx>
        <c:axId val="835547375"/>
        <c:scaling>
          <c:orientation val="minMax"/>
        </c:scaling>
        <c:delete val="1"/>
        <c:axPos val="b"/>
        <c:numFmt formatCode="0" sourceLinked="1"/>
        <c:majorTickMark val="none"/>
        <c:minorTickMark val="none"/>
        <c:tickLblPos val="nextTo"/>
        <c:crossAx val="1437705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svg"/><Relationship Id="rId15" Type="http://schemas.openxmlformats.org/officeDocument/2006/relationships/chart" Target="../charts/chart8.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image" Target="../media/image8.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158750</xdr:colOff>
      <xdr:row>49</xdr:row>
      <xdr:rowOff>57150</xdr:rowOff>
    </xdr:from>
    <xdr:to>
      <xdr:col>4</xdr:col>
      <xdr:colOff>273050</xdr:colOff>
      <xdr:row>52</xdr:row>
      <xdr:rowOff>101600</xdr:rowOff>
    </xdr:to>
    <xdr:graphicFrame macro="">
      <xdr:nvGraphicFramePr>
        <xdr:cNvPr id="6" name="Chart 5">
          <a:extLst>
            <a:ext uri="{FF2B5EF4-FFF2-40B4-BE49-F238E27FC236}">
              <a16:creationId xmlns:a16="http://schemas.microsoft.com/office/drawing/2014/main" id="{2D0E662F-E399-58B5-0A66-6C15157FFE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30237</xdr:colOff>
      <xdr:row>0</xdr:row>
      <xdr:rowOff>21598</xdr:rowOff>
    </xdr:from>
    <xdr:to>
      <xdr:col>5</xdr:col>
      <xdr:colOff>172788</xdr:colOff>
      <xdr:row>3</xdr:row>
      <xdr:rowOff>21598</xdr:rowOff>
    </xdr:to>
    <xdr:sp macro="" textlink="">
      <xdr:nvSpPr>
        <xdr:cNvPr id="2" name="Rectangle: Rounded Corners 1">
          <a:extLst>
            <a:ext uri="{FF2B5EF4-FFF2-40B4-BE49-F238E27FC236}">
              <a16:creationId xmlns:a16="http://schemas.microsoft.com/office/drawing/2014/main" id="{AF515588-D14F-3BC9-F10F-BB6C02FE4430}"/>
            </a:ext>
          </a:extLst>
        </xdr:cNvPr>
        <xdr:cNvSpPr/>
      </xdr:nvSpPr>
      <xdr:spPr>
        <a:xfrm>
          <a:off x="30237" y="21598"/>
          <a:ext cx="3187959" cy="557245"/>
        </a:xfrm>
        <a:prstGeom prst="roundRect">
          <a:avLst>
            <a:gd name="adj" fmla="val 3281"/>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5</xdr:col>
      <xdr:colOff>203026</xdr:colOff>
      <xdr:row>0</xdr:row>
      <xdr:rowOff>25920</xdr:rowOff>
    </xdr:from>
    <xdr:to>
      <xdr:col>7</xdr:col>
      <xdr:colOff>164149</xdr:colOff>
      <xdr:row>3</xdr:row>
      <xdr:rowOff>21599</xdr:rowOff>
    </xdr:to>
    <xdr:sp macro="" textlink="">
      <xdr:nvSpPr>
        <xdr:cNvPr id="3" name="Rectangle: Rounded Corners 2">
          <a:extLst>
            <a:ext uri="{FF2B5EF4-FFF2-40B4-BE49-F238E27FC236}">
              <a16:creationId xmlns:a16="http://schemas.microsoft.com/office/drawing/2014/main" id="{76974986-4B3E-422B-F104-D0C8F87C043B}"/>
            </a:ext>
          </a:extLst>
        </xdr:cNvPr>
        <xdr:cNvSpPr/>
      </xdr:nvSpPr>
      <xdr:spPr>
        <a:xfrm>
          <a:off x="3248434" y="25920"/>
          <a:ext cx="1179286" cy="552924"/>
        </a:xfrm>
        <a:prstGeom prst="roundRect">
          <a:avLst>
            <a:gd name="adj" fmla="val 87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75000"/>
              </a:schemeClr>
            </a:solidFill>
          </a:endParaRPr>
        </a:p>
      </xdr:txBody>
    </xdr:sp>
    <xdr:clientData/>
  </xdr:twoCellAnchor>
  <xdr:twoCellAnchor editAs="absolute">
    <xdr:from>
      <xdr:col>7</xdr:col>
      <xdr:colOff>198709</xdr:colOff>
      <xdr:row>0</xdr:row>
      <xdr:rowOff>27451</xdr:rowOff>
    </xdr:from>
    <xdr:to>
      <xdr:col>9</xdr:col>
      <xdr:colOff>561564</xdr:colOff>
      <xdr:row>7</xdr:row>
      <xdr:rowOff>69114</xdr:rowOff>
    </xdr:to>
    <xdr:sp macro="" textlink="">
      <xdr:nvSpPr>
        <xdr:cNvPr id="4" name="Rectangle: Rounded Corners 3">
          <a:extLst>
            <a:ext uri="{FF2B5EF4-FFF2-40B4-BE49-F238E27FC236}">
              <a16:creationId xmlns:a16="http://schemas.microsoft.com/office/drawing/2014/main" id="{5B6D4BAF-EFBA-B8BA-4C34-A67955217E8F}"/>
            </a:ext>
          </a:extLst>
        </xdr:cNvPr>
        <xdr:cNvSpPr/>
      </xdr:nvSpPr>
      <xdr:spPr>
        <a:xfrm>
          <a:off x="4462280" y="27451"/>
          <a:ext cx="1581019" cy="1341901"/>
        </a:xfrm>
        <a:prstGeom prst="roundRect">
          <a:avLst>
            <a:gd name="adj" fmla="val 203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596122</xdr:colOff>
      <xdr:row>0</xdr:row>
      <xdr:rowOff>17279</xdr:rowOff>
    </xdr:from>
    <xdr:to>
      <xdr:col>12</xdr:col>
      <xdr:colOff>358537</xdr:colOff>
      <xdr:row>7</xdr:row>
      <xdr:rowOff>73436</xdr:rowOff>
    </xdr:to>
    <xdr:sp macro="" textlink="">
      <xdr:nvSpPr>
        <xdr:cNvPr id="5" name="Rectangle: Rounded Corners 4">
          <a:extLst>
            <a:ext uri="{FF2B5EF4-FFF2-40B4-BE49-F238E27FC236}">
              <a16:creationId xmlns:a16="http://schemas.microsoft.com/office/drawing/2014/main" id="{1241DC49-2376-810D-2BCA-4CDC03B34BA3}"/>
            </a:ext>
          </a:extLst>
        </xdr:cNvPr>
        <xdr:cNvSpPr/>
      </xdr:nvSpPr>
      <xdr:spPr>
        <a:xfrm>
          <a:off x="6077857" y="17279"/>
          <a:ext cx="1589660" cy="1356395"/>
        </a:xfrm>
        <a:prstGeom prst="roundRect">
          <a:avLst>
            <a:gd name="adj" fmla="val 338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25918</xdr:colOff>
      <xdr:row>3</xdr:row>
      <xdr:rowOff>43198</xdr:rowOff>
    </xdr:from>
    <xdr:to>
      <xdr:col>1</xdr:col>
      <xdr:colOff>129592</xdr:colOff>
      <xdr:row>15</xdr:row>
      <xdr:rowOff>133913</xdr:rowOff>
    </xdr:to>
    <xdr:sp macro="" textlink="">
      <xdr:nvSpPr>
        <xdr:cNvPr id="6" name="Rectangle: Rounded Corners 5">
          <a:extLst>
            <a:ext uri="{FF2B5EF4-FFF2-40B4-BE49-F238E27FC236}">
              <a16:creationId xmlns:a16="http://schemas.microsoft.com/office/drawing/2014/main" id="{64DABC6E-4C22-CFD8-F002-D227FE7D5D06}"/>
            </a:ext>
          </a:extLst>
        </xdr:cNvPr>
        <xdr:cNvSpPr/>
      </xdr:nvSpPr>
      <xdr:spPr>
        <a:xfrm>
          <a:off x="25918" y="600443"/>
          <a:ext cx="712756" cy="2319694"/>
        </a:xfrm>
        <a:prstGeom prst="roundRect">
          <a:avLst>
            <a:gd name="adj" fmla="val 4445"/>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7</xdr:col>
      <xdr:colOff>203027</xdr:colOff>
      <xdr:row>7</xdr:row>
      <xdr:rowOff>99354</xdr:rowOff>
    </xdr:from>
    <xdr:to>
      <xdr:col>12</xdr:col>
      <xdr:colOff>371496</xdr:colOff>
      <xdr:row>15</xdr:row>
      <xdr:rowOff>138233</xdr:rowOff>
    </xdr:to>
    <xdr:sp macro="" textlink="">
      <xdr:nvSpPr>
        <xdr:cNvPr id="7" name="Rectangle: Rounded Corners 6">
          <a:extLst>
            <a:ext uri="{FF2B5EF4-FFF2-40B4-BE49-F238E27FC236}">
              <a16:creationId xmlns:a16="http://schemas.microsoft.com/office/drawing/2014/main" id="{A3E10556-7254-541F-90DA-B0D7F343751F}"/>
            </a:ext>
          </a:extLst>
        </xdr:cNvPr>
        <xdr:cNvSpPr/>
      </xdr:nvSpPr>
      <xdr:spPr>
        <a:xfrm>
          <a:off x="4466598" y="1399592"/>
          <a:ext cx="3213878" cy="1524865"/>
        </a:xfrm>
        <a:prstGeom prst="roundRect">
          <a:avLst>
            <a:gd name="adj" fmla="val 311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168469</xdr:colOff>
      <xdr:row>3</xdr:row>
      <xdr:rowOff>47518</xdr:rowOff>
    </xdr:from>
    <xdr:to>
      <xdr:col>3</xdr:col>
      <xdr:colOff>155510</xdr:colOff>
      <xdr:row>7</xdr:row>
      <xdr:rowOff>112314</xdr:rowOff>
    </xdr:to>
    <xdr:sp macro="" textlink="">
      <xdr:nvSpPr>
        <xdr:cNvPr id="8" name="Rectangle: Rounded Corners 7">
          <a:extLst>
            <a:ext uri="{FF2B5EF4-FFF2-40B4-BE49-F238E27FC236}">
              <a16:creationId xmlns:a16="http://schemas.microsoft.com/office/drawing/2014/main" id="{95DC12D9-7D99-6038-38DC-C3D7B1DB4FD8}"/>
            </a:ext>
          </a:extLst>
        </xdr:cNvPr>
        <xdr:cNvSpPr/>
      </xdr:nvSpPr>
      <xdr:spPr>
        <a:xfrm>
          <a:off x="777551" y="604763"/>
          <a:ext cx="1205204" cy="807789"/>
        </a:xfrm>
        <a:prstGeom prst="roundRect">
          <a:avLst>
            <a:gd name="adj" fmla="val 3980"/>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3</xdr:col>
      <xdr:colOff>177108</xdr:colOff>
      <xdr:row>3</xdr:row>
      <xdr:rowOff>43196</xdr:rowOff>
    </xdr:from>
    <xdr:to>
      <xdr:col>5</xdr:col>
      <xdr:colOff>181429</xdr:colOff>
      <xdr:row>7</xdr:row>
      <xdr:rowOff>107992</xdr:rowOff>
    </xdr:to>
    <xdr:sp macro="" textlink="">
      <xdr:nvSpPr>
        <xdr:cNvPr id="9" name="Rectangle: Rounded Corners 8">
          <a:extLst>
            <a:ext uri="{FF2B5EF4-FFF2-40B4-BE49-F238E27FC236}">
              <a16:creationId xmlns:a16="http://schemas.microsoft.com/office/drawing/2014/main" id="{59F3E00C-B459-DDEF-747D-29CEFCB75ED4}"/>
            </a:ext>
          </a:extLst>
        </xdr:cNvPr>
        <xdr:cNvSpPr/>
      </xdr:nvSpPr>
      <xdr:spPr>
        <a:xfrm>
          <a:off x="2004353" y="600441"/>
          <a:ext cx="1222484" cy="807789"/>
        </a:xfrm>
        <a:prstGeom prst="roundRect">
          <a:avLst>
            <a:gd name="adj" fmla="val 3980"/>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5</xdr:col>
      <xdr:colOff>203028</xdr:colOff>
      <xdr:row>3</xdr:row>
      <xdr:rowOff>51837</xdr:rowOff>
    </xdr:from>
    <xdr:to>
      <xdr:col>7</xdr:col>
      <xdr:colOff>159831</xdr:colOff>
      <xdr:row>7</xdr:row>
      <xdr:rowOff>116633</xdr:rowOff>
    </xdr:to>
    <xdr:sp macro="" textlink="">
      <xdr:nvSpPr>
        <xdr:cNvPr id="11" name="Rectangle: Rounded Corners 10">
          <a:extLst>
            <a:ext uri="{FF2B5EF4-FFF2-40B4-BE49-F238E27FC236}">
              <a16:creationId xmlns:a16="http://schemas.microsoft.com/office/drawing/2014/main" id="{92933AD6-BC04-DFF5-A994-6289D7C99E44}"/>
            </a:ext>
          </a:extLst>
        </xdr:cNvPr>
        <xdr:cNvSpPr/>
      </xdr:nvSpPr>
      <xdr:spPr>
        <a:xfrm>
          <a:off x="3248436" y="609082"/>
          <a:ext cx="1174966" cy="807789"/>
        </a:xfrm>
        <a:prstGeom prst="roundRect">
          <a:avLst>
            <a:gd name="adj" fmla="val 3980"/>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1</xdr:col>
      <xdr:colOff>164149</xdr:colOff>
      <xdr:row>7</xdr:row>
      <xdr:rowOff>133913</xdr:rowOff>
    </xdr:from>
    <xdr:to>
      <xdr:col>7</xdr:col>
      <xdr:colOff>164149</xdr:colOff>
      <xdr:row>10</xdr:row>
      <xdr:rowOff>86395</xdr:rowOff>
    </xdr:to>
    <xdr:sp macro="" textlink="">
      <xdr:nvSpPr>
        <xdr:cNvPr id="12" name="Rectangle: Rounded Corners 11">
          <a:extLst>
            <a:ext uri="{FF2B5EF4-FFF2-40B4-BE49-F238E27FC236}">
              <a16:creationId xmlns:a16="http://schemas.microsoft.com/office/drawing/2014/main" id="{856C878D-364A-280B-3B9B-3A95116ED6D7}"/>
            </a:ext>
          </a:extLst>
        </xdr:cNvPr>
        <xdr:cNvSpPr/>
      </xdr:nvSpPr>
      <xdr:spPr>
        <a:xfrm>
          <a:off x="773231" y="1434151"/>
          <a:ext cx="3654489" cy="509727"/>
        </a:xfrm>
        <a:prstGeom prst="roundRect">
          <a:avLst>
            <a:gd name="adj" fmla="val 3980"/>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1</xdr:col>
      <xdr:colOff>164150</xdr:colOff>
      <xdr:row>10</xdr:row>
      <xdr:rowOff>120954</xdr:rowOff>
    </xdr:from>
    <xdr:to>
      <xdr:col>7</xdr:col>
      <xdr:colOff>168470</xdr:colOff>
      <xdr:row>15</xdr:row>
      <xdr:rowOff>133913</xdr:rowOff>
    </xdr:to>
    <xdr:sp macro="" textlink="">
      <xdr:nvSpPr>
        <xdr:cNvPr id="13" name="Rectangle: Rounded Corners 12">
          <a:extLst>
            <a:ext uri="{FF2B5EF4-FFF2-40B4-BE49-F238E27FC236}">
              <a16:creationId xmlns:a16="http://schemas.microsoft.com/office/drawing/2014/main" id="{45DB2812-A2F7-70C4-8B7F-1E6EE18314E7}"/>
            </a:ext>
          </a:extLst>
        </xdr:cNvPr>
        <xdr:cNvSpPr/>
      </xdr:nvSpPr>
      <xdr:spPr>
        <a:xfrm>
          <a:off x="773232" y="1978437"/>
          <a:ext cx="3658809" cy="941700"/>
        </a:xfrm>
        <a:prstGeom prst="roundRect">
          <a:avLst>
            <a:gd name="adj" fmla="val 3980"/>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241904</xdr:colOff>
      <xdr:row>0</xdr:row>
      <xdr:rowOff>103674</xdr:rowOff>
    </xdr:from>
    <xdr:to>
      <xdr:col>5</xdr:col>
      <xdr:colOff>90715</xdr:colOff>
      <xdr:row>1</xdr:row>
      <xdr:rowOff>107994</xdr:rowOff>
    </xdr:to>
    <xdr:sp macro="" textlink="">
      <xdr:nvSpPr>
        <xdr:cNvPr id="14" name="TextBox 13">
          <a:extLst>
            <a:ext uri="{FF2B5EF4-FFF2-40B4-BE49-F238E27FC236}">
              <a16:creationId xmlns:a16="http://schemas.microsoft.com/office/drawing/2014/main" id="{36907A23-E14A-9D2E-1365-320E36579BA3}"/>
            </a:ext>
          </a:extLst>
        </xdr:cNvPr>
        <xdr:cNvSpPr txBox="1"/>
      </xdr:nvSpPr>
      <xdr:spPr>
        <a:xfrm>
          <a:off x="850986" y="103674"/>
          <a:ext cx="2285137" cy="1900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b="1" i="0">
              <a:solidFill>
                <a:schemeClr val="tx1"/>
              </a:solidFill>
              <a:latin typeface="Bodoni MT" panose="02070603080606020203" pitchFamily="18" charset="0"/>
            </a:rPr>
            <a:t>Hospital</a:t>
          </a:r>
          <a:r>
            <a:rPr lang="en-IN" sz="1050" b="1" i="0" baseline="0">
              <a:solidFill>
                <a:schemeClr val="tx1"/>
              </a:solidFill>
              <a:latin typeface="Bodoni MT" panose="02070603080606020203" pitchFamily="18" charset="0"/>
            </a:rPr>
            <a:t> Emergency Room Dashboard</a:t>
          </a:r>
          <a:endParaRPr lang="en-IN" sz="1050" b="1" i="0">
            <a:solidFill>
              <a:schemeClr val="tx1"/>
            </a:solidFill>
            <a:latin typeface="Bodoni MT" panose="02070603080606020203" pitchFamily="18" charset="0"/>
          </a:endParaRPr>
        </a:p>
      </xdr:txBody>
    </xdr:sp>
    <xdr:clientData/>
  </xdr:twoCellAnchor>
  <xdr:twoCellAnchor>
    <xdr:from>
      <xdr:col>1</xdr:col>
      <xdr:colOff>220306</xdr:colOff>
      <xdr:row>1</xdr:row>
      <xdr:rowOff>138233</xdr:rowOff>
    </xdr:from>
    <xdr:to>
      <xdr:col>5</xdr:col>
      <xdr:colOff>69117</xdr:colOff>
      <xdr:row>2</xdr:row>
      <xdr:rowOff>142552</xdr:rowOff>
    </xdr:to>
    <xdr:sp macro="" textlink="">
      <xdr:nvSpPr>
        <xdr:cNvPr id="15" name="TextBox 14">
          <a:extLst>
            <a:ext uri="{FF2B5EF4-FFF2-40B4-BE49-F238E27FC236}">
              <a16:creationId xmlns:a16="http://schemas.microsoft.com/office/drawing/2014/main" id="{E6FBB1DD-4AA5-CA7D-EE47-C0D9E8ABAEDD}"/>
            </a:ext>
          </a:extLst>
        </xdr:cNvPr>
        <xdr:cNvSpPr txBox="1"/>
      </xdr:nvSpPr>
      <xdr:spPr>
        <a:xfrm>
          <a:off x="829388" y="323981"/>
          <a:ext cx="2285137" cy="1900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b="1" i="0">
              <a:solidFill>
                <a:schemeClr val="accent5">
                  <a:lumMod val="75000"/>
                </a:schemeClr>
              </a:solidFill>
              <a:latin typeface="Bodoni MT" panose="02070603080606020203" pitchFamily="18" charset="0"/>
            </a:rPr>
            <a:t>Monthly Report</a:t>
          </a:r>
        </a:p>
      </xdr:txBody>
    </xdr:sp>
    <xdr:clientData/>
  </xdr:twoCellAnchor>
  <xdr:twoCellAnchor editAs="oneCell">
    <xdr:from>
      <xdr:col>0</xdr:col>
      <xdr:colOff>0</xdr:colOff>
      <xdr:row>0</xdr:row>
      <xdr:rowOff>0</xdr:rowOff>
    </xdr:from>
    <xdr:to>
      <xdr:col>1</xdr:col>
      <xdr:colOff>488129</xdr:colOff>
      <xdr:row>3</xdr:row>
      <xdr:rowOff>107993</xdr:rowOff>
    </xdr:to>
    <xdr:pic>
      <xdr:nvPicPr>
        <xdr:cNvPr id="16" name="Picture 15">
          <a:extLst>
            <a:ext uri="{FF2B5EF4-FFF2-40B4-BE49-F238E27FC236}">
              <a16:creationId xmlns:a16="http://schemas.microsoft.com/office/drawing/2014/main" id="{47451DA3-43A3-5BEF-BB84-028124C341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7211" cy="665238"/>
        </a:xfrm>
        <a:prstGeom prst="rect">
          <a:avLst/>
        </a:prstGeom>
      </xdr:spPr>
    </xdr:pic>
    <xdr:clientData/>
  </xdr:twoCellAnchor>
  <xdr:twoCellAnchor>
    <xdr:from>
      <xdr:col>1</xdr:col>
      <xdr:colOff>341259</xdr:colOff>
      <xdr:row>3</xdr:row>
      <xdr:rowOff>159830</xdr:rowOff>
    </xdr:from>
    <xdr:to>
      <xdr:col>2</xdr:col>
      <xdr:colOff>518368</xdr:colOff>
      <xdr:row>4</xdr:row>
      <xdr:rowOff>120954</xdr:rowOff>
    </xdr:to>
    <xdr:sp macro="" textlink="'Pivot Report'!A5">
      <xdr:nvSpPr>
        <xdr:cNvPr id="28" name="TextBox 27">
          <a:extLst>
            <a:ext uri="{FF2B5EF4-FFF2-40B4-BE49-F238E27FC236}">
              <a16:creationId xmlns:a16="http://schemas.microsoft.com/office/drawing/2014/main" id="{A01A4259-0E97-B094-01E1-73ABE8AE456F}"/>
            </a:ext>
          </a:extLst>
        </xdr:cNvPr>
        <xdr:cNvSpPr txBox="1"/>
      </xdr:nvSpPr>
      <xdr:spPr>
        <a:xfrm>
          <a:off x="950341" y="717075"/>
          <a:ext cx="786190" cy="1468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D62B283-1159-4142-AF98-BCE1CD5554A8}" type="TxLink">
            <a:rPr lang="en-US" sz="1100" b="0" i="0" u="none" strike="noStrike">
              <a:solidFill>
                <a:srgbClr val="000000"/>
              </a:solidFill>
              <a:latin typeface="Calibri"/>
              <a:ea typeface="Calibri"/>
              <a:cs typeface="Calibri"/>
            </a:rPr>
            <a:pPr algn="ctr"/>
            <a:t>530</a:t>
          </a:fld>
          <a:endParaRPr lang="en-IN" sz="800" b="1" i="0">
            <a:solidFill>
              <a:schemeClr val="accent5">
                <a:lumMod val="75000"/>
              </a:schemeClr>
            </a:solidFill>
            <a:latin typeface="Bodoni MT" panose="02070603080606020203" pitchFamily="18" charset="0"/>
          </a:endParaRPr>
        </a:p>
      </xdr:txBody>
    </xdr:sp>
    <xdr:clientData/>
  </xdr:twoCellAnchor>
  <xdr:twoCellAnchor>
    <xdr:from>
      <xdr:col>1</xdr:col>
      <xdr:colOff>372705</xdr:colOff>
      <xdr:row>5</xdr:row>
      <xdr:rowOff>40086</xdr:rowOff>
    </xdr:from>
    <xdr:to>
      <xdr:col>2</xdr:col>
      <xdr:colOff>549814</xdr:colOff>
      <xdr:row>6</xdr:row>
      <xdr:rowOff>1209</xdr:rowOff>
    </xdr:to>
    <xdr:sp macro="" textlink="">
      <xdr:nvSpPr>
        <xdr:cNvPr id="37" name="TextBox 36">
          <a:extLst>
            <a:ext uri="{FF2B5EF4-FFF2-40B4-BE49-F238E27FC236}">
              <a16:creationId xmlns:a16="http://schemas.microsoft.com/office/drawing/2014/main" id="{BE34A538-3485-F612-9361-F3BD40738E21}"/>
            </a:ext>
          </a:extLst>
        </xdr:cNvPr>
        <xdr:cNvSpPr txBox="1"/>
      </xdr:nvSpPr>
      <xdr:spPr>
        <a:xfrm>
          <a:off x="981787" y="968827"/>
          <a:ext cx="786190" cy="1468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i="0">
              <a:solidFill>
                <a:schemeClr val="accent1">
                  <a:lumMod val="75000"/>
                </a:schemeClr>
              </a:solidFill>
              <a:latin typeface="Bodoni MT" panose="02070603080606020203" pitchFamily="18" charset="0"/>
            </a:rPr>
            <a:t>No. of Patient</a:t>
          </a:r>
        </a:p>
      </xdr:txBody>
    </xdr:sp>
    <xdr:clientData/>
  </xdr:twoCellAnchor>
  <xdr:twoCellAnchor>
    <xdr:from>
      <xdr:col>3</xdr:col>
      <xdr:colOff>133910</xdr:colOff>
      <xdr:row>5</xdr:row>
      <xdr:rowOff>25918</xdr:rowOff>
    </xdr:from>
    <xdr:to>
      <xdr:col>5</xdr:col>
      <xdr:colOff>129590</xdr:colOff>
      <xdr:row>6</xdr:row>
      <xdr:rowOff>12958</xdr:rowOff>
    </xdr:to>
    <xdr:sp macro="" textlink="">
      <xdr:nvSpPr>
        <xdr:cNvPr id="51" name="TextBox 50">
          <a:extLst>
            <a:ext uri="{FF2B5EF4-FFF2-40B4-BE49-F238E27FC236}">
              <a16:creationId xmlns:a16="http://schemas.microsoft.com/office/drawing/2014/main" id="{8EDB6518-F218-5CA8-A687-63BEED01096E}"/>
            </a:ext>
          </a:extLst>
        </xdr:cNvPr>
        <xdr:cNvSpPr txBox="1"/>
      </xdr:nvSpPr>
      <xdr:spPr>
        <a:xfrm>
          <a:off x="1961155" y="954659"/>
          <a:ext cx="1213843" cy="172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solidFill>
                <a:schemeClr val="accent1">
                  <a:lumMod val="75000"/>
                </a:schemeClr>
              </a:solidFill>
              <a:latin typeface="Bodoni MT" panose="02070603080606020203" pitchFamily="18" charset="0"/>
            </a:rPr>
            <a:t>Average Wait Time</a:t>
          </a:r>
        </a:p>
      </xdr:txBody>
    </xdr:sp>
    <xdr:clientData/>
  </xdr:twoCellAnchor>
  <xdr:twoCellAnchor>
    <xdr:from>
      <xdr:col>5</xdr:col>
      <xdr:colOff>155511</xdr:colOff>
      <xdr:row>5</xdr:row>
      <xdr:rowOff>21599</xdr:rowOff>
    </xdr:from>
    <xdr:to>
      <xdr:col>7</xdr:col>
      <xdr:colOff>185748</xdr:colOff>
      <xdr:row>6</xdr:row>
      <xdr:rowOff>43196</xdr:rowOff>
    </xdr:to>
    <xdr:sp macro="" textlink="">
      <xdr:nvSpPr>
        <xdr:cNvPr id="52" name="TextBox 51">
          <a:extLst>
            <a:ext uri="{FF2B5EF4-FFF2-40B4-BE49-F238E27FC236}">
              <a16:creationId xmlns:a16="http://schemas.microsoft.com/office/drawing/2014/main" id="{647055CF-7A3F-2002-1C3C-34B442F182F0}"/>
            </a:ext>
          </a:extLst>
        </xdr:cNvPr>
        <xdr:cNvSpPr txBox="1"/>
      </xdr:nvSpPr>
      <xdr:spPr>
        <a:xfrm>
          <a:off x="3200919" y="950340"/>
          <a:ext cx="1248400" cy="207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chemeClr val="accent1">
                  <a:lumMod val="75000"/>
                </a:schemeClr>
              </a:solidFill>
              <a:latin typeface="Bodoni MT" panose="02070603080606020203" pitchFamily="18" charset="0"/>
            </a:rPr>
            <a:t>Patient Satisfcation Score</a:t>
          </a:r>
        </a:p>
      </xdr:txBody>
    </xdr:sp>
    <xdr:clientData/>
  </xdr:twoCellAnchor>
  <xdr:twoCellAnchor>
    <xdr:from>
      <xdr:col>5</xdr:col>
      <xdr:colOff>444932</xdr:colOff>
      <xdr:row>3</xdr:row>
      <xdr:rowOff>125271</xdr:rowOff>
    </xdr:from>
    <xdr:to>
      <xdr:col>7</xdr:col>
      <xdr:colOff>12959</xdr:colOff>
      <xdr:row>4</xdr:row>
      <xdr:rowOff>86395</xdr:rowOff>
    </xdr:to>
    <xdr:sp macro="" textlink="'Pivot Report'!A43">
      <xdr:nvSpPr>
        <xdr:cNvPr id="53" name="TextBox 52">
          <a:extLst>
            <a:ext uri="{FF2B5EF4-FFF2-40B4-BE49-F238E27FC236}">
              <a16:creationId xmlns:a16="http://schemas.microsoft.com/office/drawing/2014/main" id="{A896F973-71A5-B80B-19FF-FCA7BF98AF56}"/>
            </a:ext>
          </a:extLst>
        </xdr:cNvPr>
        <xdr:cNvSpPr txBox="1"/>
      </xdr:nvSpPr>
      <xdr:spPr>
        <a:xfrm>
          <a:off x="3490340" y="682516"/>
          <a:ext cx="786190" cy="1468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BA31784-A291-4D2D-B88D-55E3E219EB48}" type="TxLink">
            <a:rPr lang="en-US" sz="1100" b="0" i="0" u="none" strike="noStrike">
              <a:solidFill>
                <a:srgbClr val="000000"/>
              </a:solidFill>
              <a:latin typeface="Calibri"/>
              <a:ea typeface="Calibri"/>
              <a:cs typeface="Calibri"/>
            </a:rPr>
            <a:pPr algn="ctr"/>
            <a:t>Admitted</a:t>
          </a:fld>
          <a:endParaRPr lang="en-IN" sz="800" b="1" i="0">
            <a:solidFill>
              <a:schemeClr val="accent5">
                <a:lumMod val="75000"/>
              </a:schemeClr>
            </a:solidFill>
            <a:latin typeface="Bodoni MT" panose="02070603080606020203" pitchFamily="18" charset="0"/>
          </a:endParaRPr>
        </a:p>
      </xdr:txBody>
    </xdr:sp>
    <xdr:clientData/>
  </xdr:twoCellAnchor>
  <xdr:twoCellAnchor>
    <xdr:from>
      <xdr:col>3</xdr:col>
      <xdr:colOff>419013</xdr:colOff>
      <xdr:row>3</xdr:row>
      <xdr:rowOff>133911</xdr:rowOff>
    </xdr:from>
    <xdr:to>
      <xdr:col>4</xdr:col>
      <xdr:colOff>596121</xdr:colOff>
      <xdr:row>4</xdr:row>
      <xdr:rowOff>95035</xdr:rowOff>
    </xdr:to>
    <xdr:sp macro="" textlink="'Pivot Report'!A9">
      <xdr:nvSpPr>
        <xdr:cNvPr id="54" name="TextBox 53">
          <a:extLst>
            <a:ext uri="{FF2B5EF4-FFF2-40B4-BE49-F238E27FC236}">
              <a16:creationId xmlns:a16="http://schemas.microsoft.com/office/drawing/2014/main" id="{49A52C3E-3530-1AFA-9FE7-6A882E167226}"/>
            </a:ext>
          </a:extLst>
        </xdr:cNvPr>
        <xdr:cNvSpPr txBox="1"/>
      </xdr:nvSpPr>
      <xdr:spPr>
        <a:xfrm>
          <a:off x="2246258" y="691156"/>
          <a:ext cx="786190" cy="1468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C0D3247-AF35-41E5-BBE6-D41A25E9EA9F}" type="TxLink">
            <a:rPr lang="en-US" sz="1100" b="0" i="0" u="none" strike="noStrike">
              <a:solidFill>
                <a:srgbClr val="000000"/>
              </a:solidFill>
              <a:latin typeface="Calibri"/>
              <a:ea typeface="Calibri"/>
              <a:cs typeface="Calibri"/>
            </a:rPr>
            <a:pPr algn="ctr"/>
            <a:t>35.11</a:t>
          </a:fld>
          <a:endParaRPr lang="en-IN" sz="800" b="1" i="0">
            <a:solidFill>
              <a:schemeClr val="accent5">
                <a:lumMod val="75000"/>
              </a:schemeClr>
            </a:solidFill>
            <a:latin typeface="Bodoni MT" panose="02070603080606020203" pitchFamily="18" charset="0"/>
          </a:endParaRPr>
        </a:p>
      </xdr:txBody>
    </xdr:sp>
    <xdr:clientData/>
  </xdr:twoCellAnchor>
  <xdr:twoCellAnchor editAs="oneCell">
    <xdr:from>
      <xdr:col>2</xdr:col>
      <xdr:colOff>583165</xdr:colOff>
      <xdr:row>3</xdr:row>
      <xdr:rowOff>77756</xdr:rowOff>
    </xdr:from>
    <xdr:to>
      <xdr:col>3</xdr:col>
      <xdr:colOff>146871</xdr:colOff>
      <xdr:row>4</xdr:row>
      <xdr:rowOff>17004</xdr:rowOff>
    </xdr:to>
    <xdr:pic>
      <xdr:nvPicPr>
        <xdr:cNvPr id="58" name="Graphic 57" descr="Male profile with solid fill">
          <a:extLst>
            <a:ext uri="{FF2B5EF4-FFF2-40B4-BE49-F238E27FC236}">
              <a16:creationId xmlns:a16="http://schemas.microsoft.com/office/drawing/2014/main" id="{73F325EC-3A33-B24B-540A-D8B71B08038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1801328" y="635001"/>
          <a:ext cx="172788" cy="124996"/>
        </a:xfrm>
        <a:prstGeom prst="rect">
          <a:avLst/>
        </a:prstGeom>
      </xdr:spPr>
    </xdr:pic>
    <xdr:clientData/>
  </xdr:twoCellAnchor>
  <xdr:twoCellAnchor editAs="oneCell">
    <xdr:from>
      <xdr:col>4</xdr:col>
      <xdr:colOff>605277</xdr:colOff>
      <xdr:row>3</xdr:row>
      <xdr:rowOff>82076</xdr:rowOff>
    </xdr:from>
    <xdr:to>
      <xdr:col>5</xdr:col>
      <xdr:colOff>175726</xdr:colOff>
      <xdr:row>4</xdr:row>
      <xdr:rowOff>47518</xdr:rowOff>
    </xdr:to>
    <xdr:pic>
      <xdr:nvPicPr>
        <xdr:cNvPr id="60" name="Graphic 59" descr="Hourglass Finished with solid fill">
          <a:extLst>
            <a:ext uri="{FF2B5EF4-FFF2-40B4-BE49-F238E27FC236}">
              <a16:creationId xmlns:a16="http://schemas.microsoft.com/office/drawing/2014/main" id="{E5170CED-C53B-083D-3D44-F5BAEED48A4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041604" y="639321"/>
          <a:ext cx="179530" cy="151190"/>
        </a:xfrm>
        <a:prstGeom prst="rect">
          <a:avLst/>
        </a:prstGeom>
      </xdr:spPr>
    </xdr:pic>
    <xdr:clientData/>
  </xdr:twoCellAnchor>
  <xdr:twoCellAnchor editAs="oneCell">
    <xdr:from>
      <xdr:col>6</xdr:col>
      <xdr:colOff>587482</xdr:colOff>
      <xdr:row>3</xdr:row>
      <xdr:rowOff>73435</xdr:rowOff>
    </xdr:from>
    <xdr:to>
      <xdr:col>7</xdr:col>
      <xdr:colOff>165896</xdr:colOff>
      <xdr:row>4</xdr:row>
      <xdr:rowOff>41458</xdr:rowOff>
    </xdr:to>
    <xdr:pic>
      <xdr:nvPicPr>
        <xdr:cNvPr id="62" name="Graphic 61" descr="Subtitles with solid fill">
          <a:extLst>
            <a:ext uri="{FF2B5EF4-FFF2-40B4-BE49-F238E27FC236}">
              <a16:creationId xmlns:a16="http://schemas.microsoft.com/office/drawing/2014/main" id="{77F75326-D482-5DA2-E0DD-EB39349D0FB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241972" y="630680"/>
          <a:ext cx="187495" cy="153771"/>
        </a:xfrm>
        <a:prstGeom prst="rect">
          <a:avLst/>
        </a:prstGeom>
      </xdr:spPr>
    </xdr:pic>
    <xdr:clientData/>
  </xdr:twoCellAnchor>
  <xdr:twoCellAnchor editAs="absolute">
    <xdr:from>
      <xdr:col>0</xdr:col>
      <xdr:colOff>34557</xdr:colOff>
      <xdr:row>3</xdr:row>
      <xdr:rowOff>64794</xdr:rowOff>
    </xdr:from>
    <xdr:to>
      <xdr:col>1</xdr:col>
      <xdr:colOff>125271</xdr:colOff>
      <xdr:row>15</xdr:row>
      <xdr:rowOff>116633</xdr:rowOff>
    </xdr:to>
    <mc:AlternateContent xmlns:mc="http://schemas.openxmlformats.org/markup-compatibility/2006" xmlns:a14="http://schemas.microsoft.com/office/drawing/2010/main">
      <mc:Choice Requires="a14">
        <xdr:graphicFrame macro="">
          <xdr:nvGraphicFramePr>
            <xdr:cNvPr id="10" name="Date (Month)">
              <a:extLst>
                <a:ext uri="{FF2B5EF4-FFF2-40B4-BE49-F238E27FC236}">
                  <a16:creationId xmlns:a16="http://schemas.microsoft.com/office/drawing/2014/main" id="{63664382-D285-4DF9-9F56-FC48F289E4F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4557" y="622039"/>
              <a:ext cx="699796" cy="2280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146870</xdr:colOff>
      <xdr:row>5</xdr:row>
      <xdr:rowOff>164149</xdr:rowOff>
    </xdr:from>
    <xdr:to>
      <xdr:col>3</xdr:col>
      <xdr:colOff>155511</xdr:colOff>
      <xdr:row>7</xdr:row>
      <xdr:rowOff>112313</xdr:rowOff>
    </xdr:to>
    <xdr:graphicFrame macro="">
      <xdr:nvGraphicFramePr>
        <xdr:cNvPr id="17" name="Chart 16">
          <a:extLst>
            <a:ext uri="{FF2B5EF4-FFF2-40B4-BE49-F238E27FC236}">
              <a16:creationId xmlns:a16="http://schemas.microsoft.com/office/drawing/2014/main" id="{47AF2C52-7D0B-4309-9038-A6D9F7199B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181428</xdr:colOff>
      <xdr:row>6</xdr:row>
      <xdr:rowOff>4320</xdr:rowOff>
    </xdr:from>
    <xdr:to>
      <xdr:col>5</xdr:col>
      <xdr:colOff>185748</xdr:colOff>
      <xdr:row>7</xdr:row>
      <xdr:rowOff>103674</xdr:rowOff>
    </xdr:to>
    <xdr:graphicFrame macro="">
      <xdr:nvGraphicFramePr>
        <xdr:cNvPr id="18" name="Chart 17">
          <a:extLst>
            <a:ext uri="{FF2B5EF4-FFF2-40B4-BE49-F238E27FC236}">
              <a16:creationId xmlns:a16="http://schemas.microsoft.com/office/drawing/2014/main" id="{7E871100-2994-4453-9291-BB36F62CB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211667</xdr:colOff>
      <xdr:row>5</xdr:row>
      <xdr:rowOff>129591</xdr:rowOff>
    </xdr:from>
    <xdr:to>
      <xdr:col>7</xdr:col>
      <xdr:colOff>159830</xdr:colOff>
      <xdr:row>7</xdr:row>
      <xdr:rowOff>116633</xdr:rowOff>
    </xdr:to>
    <xdr:graphicFrame macro="">
      <xdr:nvGraphicFramePr>
        <xdr:cNvPr id="19" name="Chart 18">
          <a:extLst>
            <a:ext uri="{FF2B5EF4-FFF2-40B4-BE49-F238E27FC236}">
              <a16:creationId xmlns:a16="http://schemas.microsoft.com/office/drawing/2014/main" id="{7BB05A8A-5880-4519-993A-D07390E06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168469</xdr:colOff>
      <xdr:row>10</xdr:row>
      <xdr:rowOff>146871</xdr:rowOff>
    </xdr:from>
    <xdr:to>
      <xdr:col>7</xdr:col>
      <xdr:colOff>159830</xdr:colOff>
      <xdr:row>15</xdr:row>
      <xdr:rowOff>164150</xdr:rowOff>
    </xdr:to>
    <xdr:graphicFrame macro="">
      <xdr:nvGraphicFramePr>
        <xdr:cNvPr id="29" name="Chart 28">
          <a:extLst>
            <a:ext uri="{FF2B5EF4-FFF2-40B4-BE49-F238E27FC236}">
              <a16:creationId xmlns:a16="http://schemas.microsoft.com/office/drawing/2014/main" id="{E47CF071-A4C2-4774-B3F8-CADF5CB19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194389</xdr:colOff>
      <xdr:row>0</xdr:row>
      <xdr:rowOff>47517</xdr:rowOff>
    </xdr:from>
    <xdr:to>
      <xdr:col>9</xdr:col>
      <xdr:colOff>552925</xdr:colOff>
      <xdr:row>7</xdr:row>
      <xdr:rowOff>77755</xdr:rowOff>
    </xdr:to>
    <xdr:graphicFrame macro="">
      <xdr:nvGraphicFramePr>
        <xdr:cNvPr id="30" name="Chart 29">
          <a:extLst>
            <a:ext uri="{FF2B5EF4-FFF2-40B4-BE49-F238E27FC236}">
              <a16:creationId xmlns:a16="http://schemas.microsoft.com/office/drawing/2014/main" id="{6E74D372-CC43-4974-85AF-8D6536918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591802</xdr:colOff>
      <xdr:row>0</xdr:row>
      <xdr:rowOff>25918</xdr:rowOff>
    </xdr:from>
    <xdr:to>
      <xdr:col>12</xdr:col>
      <xdr:colOff>345578</xdr:colOff>
      <xdr:row>7</xdr:row>
      <xdr:rowOff>64796</xdr:rowOff>
    </xdr:to>
    <xdr:graphicFrame macro="">
      <xdr:nvGraphicFramePr>
        <xdr:cNvPr id="31" name="Chart 30">
          <a:extLst>
            <a:ext uri="{FF2B5EF4-FFF2-40B4-BE49-F238E27FC236}">
              <a16:creationId xmlns:a16="http://schemas.microsoft.com/office/drawing/2014/main" id="{C6EB56BA-BED0-407E-80F4-7E3970947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168470</xdr:colOff>
          <xdr:row>7</xdr:row>
          <xdr:rowOff>129591</xdr:rowOff>
        </xdr:from>
        <xdr:to>
          <xdr:col>7</xdr:col>
          <xdr:colOff>177109</xdr:colOff>
          <xdr:row>10</xdr:row>
          <xdr:rowOff>99354</xdr:rowOff>
        </xdr:to>
        <xdr:pic>
          <xdr:nvPicPr>
            <xdr:cNvPr id="43" name="Picture 42">
              <a:extLst>
                <a:ext uri="{FF2B5EF4-FFF2-40B4-BE49-F238E27FC236}">
                  <a16:creationId xmlns:a16="http://schemas.microsoft.com/office/drawing/2014/main" id="{6C5298D8-2F70-5200-F749-48BB8258A4EC}"/>
                </a:ext>
              </a:extLst>
            </xdr:cNvPr>
            <xdr:cNvPicPr>
              <a:picLocks noChangeAspect="1" noChangeArrowheads="1"/>
              <a:extLst>
                <a:ext uri="{84589F7E-364E-4C9E-8A38-B11213B215E9}">
                  <a14:cameraTool cellRange="'Pivot Report'!$A$50:$E$52" spid="_x0000_s1063"/>
                </a:ext>
              </a:extLst>
            </xdr:cNvPicPr>
          </xdr:nvPicPr>
          <xdr:blipFill>
            <a:blip xmlns:r="http://schemas.openxmlformats.org/officeDocument/2006/relationships" r:embed="rId14"/>
            <a:srcRect/>
            <a:stretch>
              <a:fillRect/>
            </a:stretch>
          </xdr:blipFill>
          <xdr:spPr bwMode="auto">
            <a:xfrm>
              <a:off x="777552" y="1429829"/>
              <a:ext cx="3663128" cy="527008"/>
            </a:xfrm>
            <a:prstGeom prst="rect">
              <a:avLst/>
            </a:prstGeom>
            <a:noFill/>
            <a:effectLst>
              <a:softEdge rad="12700"/>
            </a:effectLst>
            <a:extLst>
              <a:ext uri="{909E8E84-426E-40DD-AFC4-6F175D3DCCD1}">
                <a14:hiddenFill>
                  <a:solidFill>
                    <a:srgbClr val="FFFFFF"/>
                  </a:solidFill>
                </a14:hiddenFill>
              </a:ext>
            </a:extLst>
          </xdr:spPr>
        </xdr:pic>
        <xdr:clientData/>
      </xdr:twoCellAnchor>
    </mc:Choice>
    <mc:Fallback/>
  </mc:AlternateContent>
  <xdr:twoCellAnchor>
    <xdr:from>
      <xdr:col>10</xdr:col>
      <xdr:colOff>129592</xdr:colOff>
      <xdr:row>6</xdr:row>
      <xdr:rowOff>56157</xdr:rowOff>
    </xdr:from>
    <xdr:to>
      <xdr:col>12</xdr:col>
      <xdr:colOff>237585</xdr:colOff>
      <xdr:row>7</xdr:row>
      <xdr:rowOff>56157</xdr:rowOff>
    </xdr:to>
    <xdr:sp macro="" textlink="">
      <xdr:nvSpPr>
        <xdr:cNvPr id="44" name="TextBox 43">
          <a:extLst>
            <a:ext uri="{FF2B5EF4-FFF2-40B4-BE49-F238E27FC236}">
              <a16:creationId xmlns:a16="http://schemas.microsoft.com/office/drawing/2014/main" id="{244DFE7F-D1C7-F183-46AD-998F98234395}"/>
            </a:ext>
          </a:extLst>
        </xdr:cNvPr>
        <xdr:cNvSpPr txBox="1"/>
      </xdr:nvSpPr>
      <xdr:spPr>
        <a:xfrm>
          <a:off x="6220408" y="1170647"/>
          <a:ext cx="1326157" cy="185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accent1">
                  <a:lumMod val="75000"/>
                </a:schemeClr>
              </a:solidFill>
              <a:latin typeface="Bodoni MT" panose="02070603080606020203" pitchFamily="18" charset="0"/>
            </a:rPr>
            <a:t>Gender wis</a:t>
          </a:r>
          <a:r>
            <a:rPr lang="en-IN" sz="1000" b="1" baseline="0">
              <a:solidFill>
                <a:schemeClr val="accent1">
                  <a:lumMod val="75000"/>
                </a:schemeClr>
              </a:solidFill>
              <a:latin typeface="Bodoni MT" panose="02070603080606020203" pitchFamily="18" charset="0"/>
            </a:rPr>
            <a:t>e Analysis</a:t>
          </a:r>
          <a:endParaRPr lang="en-IN" sz="1000" b="1">
            <a:solidFill>
              <a:schemeClr val="accent1">
                <a:lumMod val="75000"/>
              </a:schemeClr>
            </a:solidFill>
            <a:latin typeface="Bodoni MT" panose="02070603080606020203" pitchFamily="18" charset="0"/>
          </a:endParaRPr>
        </a:p>
      </xdr:txBody>
    </xdr:sp>
    <xdr:clientData/>
  </xdr:twoCellAnchor>
  <xdr:twoCellAnchor>
    <xdr:from>
      <xdr:col>7</xdr:col>
      <xdr:colOff>203027</xdr:colOff>
      <xdr:row>7</xdr:row>
      <xdr:rowOff>99354</xdr:rowOff>
    </xdr:from>
    <xdr:to>
      <xdr:col>12</xdr:col>
      <xdr:colOff>358537</xdr:colOff>
      <xdr:row>15</xdr:row>
      <xdr:rowOff>146871</xdr:rowOff>
    </xdr:to>
    <xdr:graphicFrame macro="">
      <xdr:nvGraphicFramePr>
        <xdr:cNvPr id="21" name="Chart 20">
          <a:extLst>
            <a:ext uri="{FF2B5EF4-FFF2-40B4-BE49-F238E27FC236}">
              <a16:creationId xmlns:a16="http://schemas.microsoft.com/office/drawing/2014/main" id="{9B748256-D624-4278-B6E9-7BA8A6E2E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xdr:col>
      <xdr:colOff>207347</xdr:colOff>
      <xdr:row>0</xdr:row>
      <xdr:rowOff>107994</xdr:rowOff>
    </xdr:from>
    <xdr:to>
      <xdr:col>7</xdr:col>
      <xdr:colOff>159831</xdr:colOff>
      <xdr:row>2</xdr:row>
      <xdr:rowOff>181428</xdr:rowOff>
    </xdr:to>
    <mc:AlternateContent xmlns:mc="http://schemas.openxmlformats.org/markup-compatibility/2006" xmlns:a14="http://schemas.microsoft.com/office/drawing/2010/main">
      <mc:Choice Requires="a14">
        <xdr:graphicFrame macro="">
          <xdr:nvGraphicFramePr>
            <xdr:cNvPr id="22" name="Date (Year)">
              <a:extLst>
                <a:ext uri="{FF2B5EF4-FFF2-40B4-BE49-F238E27FC236}">
                  <a16:creationId xmlns:a16="http://schemas.microsoft.com/office/drawing/2014/main" id="{E4A0CD46-6111-459A-9C63-62A6FC503F8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252755" y="107994"/>
              <a:ext cx="1170647" cy="444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0.18365</cdr:x>
      <cdr:y>0.76712</cdr:y>
    </cdr:from>
    <cdr:to>
      <cdr:x>0.77133</cdr:x>
      <cdr:y>0.96347</cdr:y>
    </cdr:to>
    <cdr:sp macro="" textlink="">
      <cdr:nvSpPr>
        <cdr:cNvPr id="3" name="TextBox 2">
          <a:extLst xmlns:a="http://schemas.openxmlformats.org/drawingml/2006/main">
            <a:ext uri="{FF2B5EF4-FFF2-40B4-BE49-F238E27FC236}">
              <a16:creationId xmlns:a16="http://schemas.microsoft.com/office/drawing/2014/main" id="{E126C6B4-A910-6B8C-F5F4-7F9A6786683F}"/>
            </a:ext>
          </a:extLst>
        </cdr:cNvPr>
        <cdr:cNvSpPr txBox="1"/>
      </cdr:nvSpPr>
      <cdr:spPr>
        <a:xfrm xmlns:a="http://schemas.openxmlformats.org/drawingml/2006/main">
          <a:off x="669557" y="725714"/>
          <a:ext cx="2142585" cy="1857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800" b="1" kern="1200">
              <a:solidFill>
                <a:schemeClr val="accent1"/>
              </a:solidFill>
              <a:latin typeface="Bodoni MT" panose="02070603080606020203" pitchFamily="18" charset="0"/>
            </a:rPr>
            <a:t>No.</a:t>
          </a:r>
          <a:r>
            <a:rPr lang="en-IN" sz="800" b="1" kern="1200" baseline="0">
              <a:solidFill>
                <a:schemeClr val="accent1"/>
              </a:solidFill>
              <a:latin typeface="Bodoni MT" panose="02070603080606020203" pitchFamily="18" charset="0"/>
            </a:rPr>
            <a:t> of Patient by Age Group</a:t>
          </a:r>
          <a:endParaRPr lang="en-IN" sz="800" b="1" kern="1200">
            <a:solidFill>
              <a:schemeClr val="accent1"/>
            </a:solidFill>
            <a:latin typeface="Bodoni MT" panose="02070603080606020203" pitchFamily="18"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0.16986</cdr:x>
      <cdr:y>0.87662</cdr:y>
    </cdr:from>
    <cdr:to>
      <cdr:x>0.84384</cdr:x>
      <cdr:y>0.97403</cdr:y>
    </cdr:to>
    <cdr:sp macro="" textlink="">
      <cdr:nvSpPr>
        <cdr:cNvPr id="2" name="TextBox 1">
          <a:extLst xmlns:a="http://schemas.openxmlformats.org/drawingml/2006/main">
            <a:ext uri="{FF2B5EF4-FFF2-40B4-BE49-F238E27FC236}">
              <a16:creationId xmlns:a16="http://schemas.microsoft.com/office/drawing/2014/main" id="{646FA5DB-885D-E14D-FAF4-BDDF7101F1E1}"/>
            </a:ext>
          </a:extLst>
        </cdr:cNvPr>
        <cdr:cNvSpPr txBox="1"/>
      </cdr:nvSpPr>
      <cdr:spPr>
        <a:xfrm xmlns:a="http://schemas.openxmlformats.org/drawingml/2006/main">
          <a:off x="267822" y="1166327"/>
          <a:ext cx="1062653" cy="1295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0.04657</cdr:x>
      <cdr:y>0.86039</cdr:y>
    </cdr:from>
    <cdr:to>
      <cdr:x>1</cdr:x>
      <cdr:y>0.98376</cdr:y>
    </cdr:to>
    <cdr:sp macro="" textlink="">
      <cdr:nvSpPr>
        <cdr:cNvPr id="3" name="TextBox 2">
          <a:extLst xmlns:a="http://schemas.openxmlformats.org/drawingml/2006/main">
            <a:ext uri="{FF2B5EF4-FFF2-40B4-BE49-F238E27FC236}">
              <a16:creationId xmlns:a16="http://schemas.microsoft.com/office/drawing/2014/main" id="{AA989E82-EE09-64B0-6B3D-814731720929}"/>
            </a:ext>
          </a:extLst>
        </cdr:cNvPr>
        <cdr:cNvSpPr txBox="1"/>
      </cdr:nvSpPr>
      <cdr:spPr>
        <a:xfrm xmlns:a="http://schemas.openxmlformats.org/drawingml/2006/main">
          <a:off x="73427" y="1144734"/>
          <a:ext cx="1503273" cy="16414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000" b="1" kern="1200">
              <a:solidFill>
                <a:schemeClr val="accent1">
                  <a:lumMod val="75000"/>
                </a:schemeClr>
              </a:solidFill>
              <a:latin typeface="Bodoni MT" panose="02070603080606020203" pitchFamily="18" charset="0"/>
            </a:rPr>
            <a:t>Patient</a:t>
          </a:r>
          <a:r>
            <a:rPr lang="en-IN" sz="1000" b="1" kern="1200" baseline="0">
              <a:solidFill>
                <a:schemeClr val="accent1">
                  <a:lumMod val="75000"/>
                </a:schemeClr>
              </a:solidFill>
              <a:latin typeface="Bodoni MT" panose="02070603080606020203" pitchFamily="18" charset="0"/>
            </a:rPr>
            <a:t> Attend Status</a:t>
          </a:r>
          <a:endParaRPr lang="en-IN" sz="1000" b="1" kern="1200">
            <a:solidFill>
              <a:schemeClr val="accent1">
                <a:lumMod val="75000"/>
              </a:schemeClr>
            </a:solidFill>
            <a:latin typeface="Bodoni MT" panose="02070603080606020203" pitchFamily="18"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0.10685</cdr:x>
      <cdr:y>0.82911</cdr:y>
    </cdr:from>
    <cdr:to>
      <cdr:x>0.92055</cdr:x>
      <cdr:y>0.96835</cdr:y>
    </cdr:to>
    <cdr:sp macro="" textlink="">
      <cdr:nvSpPr>
        <cdr:cNvPr id="2" name="TextBox 1">
          <a:extLst xmlns:a="http://schemas.openxmlformats.org/drawingml/2006/main">
            <a:ext uri="{FF2B5EF4-FFF2-40B4-BE49-F238E27FC236}">
              <a16:creationId xmlns:a16="http://schemas.microsoft.com/office/drawing/2014/main" id="{4D24A891-0331-5584-0F00-1A43DF69398E}"/>
            </a:ext>
          </a:extLst>
        </cdr:cNvPr>
        <cdr:cNvSpPr txBox="1"/>
      </cdr:nvSpPr>
      <cdr:spPr>
        <a:xfrm xmlns:a="http://schemas.openxmlformats.org/drawingml/2006/main">
          <a:off x="168470" y="1131769"/>
          <a:ext cx="1282959" cy="19006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6.xml><?xml version="1.0" encoding="utf-8"?>
<c:userShapes xmlns:c="http://schemas.openxmlformats.org/drawingml/2006/chart">
  <cdr:relSizeAnchor xmlns:cdr="http://schemas.openxmlformats.org/drawingml/2006/chartDrawing">
    <cdr:from>
      <cdr:x>0.05398</cdr:x>
      <cdr:y>0.82253</cdr:y>
    </cdr:from>
    <cdr:to>
      <cdr:x>0.94332</cdr:x>
      <cdr:y>0.93521</cdr:y>
    </cdr:to>
    <cdr:sp macro="" textlink="">
      <cdr:nvSpPr>
        <cdr:cNvPr id="2" name="TextBox 1">
          <a:extLst xmlns:a="http://schemas.openxmlformats.org/drawingml/2006/main">
            <a:ext uri="{FF2B5EF4-FFF2-40B4-BE49-F238E27FC236}">
              <a16:creationId xmlns:a16="http://schemas.microsoft.com/office/drawing/2014/main" id="{9F4FAAE1-510F-E1C1-70CC-178833FF3A36}"/>
            </a:ext>
          </a:extLst>
        </cdr:cNvPr>
        <cdr:cNvSpPr txBox="1"/>
      </cdr:nvSpPr>
      <cdr:spPr>
        <a:xfrm xmlns:a="http://schemas.openxmlformats.org/drawingml/2006/main">
          <a:off x="172790" y="1261359"/>
          <a:ext cx="2846700" cy="17278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050" b="1" kern="1200">
              <a:solidFill>
                <a:schemeClr val="accent1">
                  <a:lumMod val="75000"/>
                </a:schemeClr>
              </a:solidFill>
              <a:latin typeface="Bodoni MT" panose="02070603080606020203" pitchFamily="18" charset="0"/>
            </a:rPr>
            <a:t>No. of Patients</a:t>
          </a:r>
          <a:r>
            <a:rPr lang="en-IN" sz="1050" b="1" kern="1200" baseline="0">
              <a:solidFill>
                <a:schemeClr val="accent1">
                  <a:lumMod val="75000"/>
                </a:schemeClr>
              </a:solidFill>
              <a:latin typeface="Bodoni MT" panose="02070603080606020203" pitchFamily="18" charset="0"/>
            </a:rPr>
            <a:t> by Department Referral</a:t>
          </a:r>
          <a:endParaRPr lang="en-IN" sz="1050" b="1" kern="1200">
            <a:solidFill>
              <a:schemeClr val="accent1">
                <a:lumMod val="75000"/>
              </a:schemeClr>
            </a:solidFill>
            <a:latin typeface="Bodoni MT" panose="02070603080606020203" pitchFamily="18" charset="0"/>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harma" refreshedDate="45780.429442708337" createdVersion="5" refreshedVersion="8" minRefreshableVersion="3" recordCount="0" supportSubquery="1" supportAdvancedDrill="1" xr:uid="{8E6DD749-33BE-443C-90B3-39F3BAE39024}">
  <cacheSource type="external" connectionId="3"/>
  <cacheFields count="3">
    <cacheField name="[Calender_Table].[Date (Month)].[Date (Month)]" caption="Date (Month)" numFmtId="0" hierarchy="1" level="1">
      <sharedItems count="1">
        <s v="Aug"/>
      </sharedItems>
    </cacheField>
    <cacheField name="[Calender_Table].[Date (Quarter)].[Date (Quarter)]" caption="Date (Quarter)" numFmtId="0" hierarchy="4" level="1">
      <sharedItems count="1">
        <s v="Qtr3"/>
      </sharedItems>
    </cacheField>
    <cacheField name="[Calender_Table].[Date (Year)].[Date (Year)]" caption="Date (Year)" numFmtId="0" hierarchy="3" level="1">
      <sharedItems count="1">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harma" refreshedDate="45780.429442824076" createdVersion="5" refreshedVersion="8" minRefreshableVersion="3" recordCount="0" supportSubquery="1" supportAdvancedDrill="1" xr:uid="{7C8543E6-D223-42D4-8B88-9430EDAC6832}">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harma" refreshedDate="45780.429443287037" createdVersion="5" refreshedVersion="8" minRefreshableVersion="3" recordCount="0" supportSubquery="1" supportAdvancedDrill="1" xr:uid="{C15D4C11-E0CF-4ADE-BE6F-FA7D0751F105}">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harma" refreshedDate="45780.429443749999" createdVersion="5" refreshedVersion="8" minRefreshableVersion="3" recordCount="0" supportSubquery="1" supportAdvancedDrill="1" xr:uid="{9B40B177-41D9-48CE-A815-3A52FEB0E586}">
  <cacheSource type="external" connectionId="3"/>
  <cacheFields count="4">
    <cacheField name="[Calender_Table].[Date (Month)].[Date (Month)]" caption="Date (Month)" numFmtId="0" hierarchy="1" level="1">
      <sharedItems containsSemiMixedTypes="0" containsNonDate="0" containsString="0"/>
    </cacheField>
    <cacheField name="[Measures].[Count of Patient Gender]" caption="Count of Patient Gender" numFmtId="0" hierarchy="33" level="32767"/>
    <cacheField name="[Hospital Emergency Room Data].[Patient Gender].[Patient Gender]" caption="Patient Gender" numFmtId="0" hierarchy="9" level="1">
      <sharedItems count="2">
        <s v="Female"/>
        <s v="Male"/>
      </sharedItems>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harma" refreshedDate="45780.429444212961" createdVersion="5" refreshedVersion="8" minRefreshableVersion="3" recordCount="0" supportSubquery="1" supportAdvancedDrill="1" xr:uid="{FA460004-7C51-4770-86C3-1A49EF21E91A}">
  <cacheSource type="external" connectionId="3"/>
  <cacheFields count="4">
    <cacheField name="[Calender_Table].[Date (Month)].[Date (Month)]" caption="Date (Month)" numFmtId="0" hierarchy="1" level="1">
      <sharedItems containsSemiMixedTypes="0" containsNonDate="0" containsString="0"/>
    </cacheField>
    <cacheField name="[Measures].[Count of Department Referral]" caption="Count of Department Referral" numFmtId="0" hierarchy="34"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harma" refreshedDate="45780.429444444446" createdVersion="5" refreshedVersion="8" minRefreshableVersion="3" recordCount="0" supportSubquery="1" supportAdvancedDrill="1" xr:uid="{6473294E-A1F9-4151-BD18-16A6CED8EBFC}">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harma" refreshedDate="45780.429444791669" createdVersion="5" refreshedVersion="8" minRefreshableVersion="3" recordCount="0" supportSubquery="1" supportAdvancedDrill="1" xr:uid="{19671331-72D4-44D0-9D43-3E1C30E76F6E}">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harma" refreshedDate="45780.429445138892" createdVersion="5" refreshedVersion="8" minRefreshableVersion="3" recordCount="0" supportSubquery="1" supportAdvancedDrill="1" xr:uid="{37B47031-7204-47A1-B39F-F8116AB7155C}">
  <cacheSource type="external" connectionId="3"/>
  <cacheFields count="4">
    <cacheField name="[Calende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harma" refreshedDate="45780.429445717593" createdVersion="5" refreshedVersion="8" minRefreshableVersion="3" recordCount="0" supportSubquery="1" supportAdvancedDrill="1" xr:uid="{D5267CBB-17F1-41E3-B872-201214747BF6}">
  <cacheSource type="external" connectionId="3"/>
  <cacheFields count="4">
    <cacheField name="[Calender_Table].[Date (Day)].[Date (Day)]" caption="Date (Day)" numFmtId="0" hierarchy="2" level="1">
      <sharedItems count="30">
        <s v="1-Aug"/>
        <s v="2-Aug"/>
        <s v="3-Aug"/>
        <s v="4-Aug"/>
        <s v="5-Aug"/>
        <s v="6-Aug"/>
        <s v="8-Aug"/>
        <s v="9-Aug"/>
        <s v="10-Aug"/>
        <s v="11-Aug"/>
        <s v="12-Aug"/>
        <s v="13-Aug"/>
        <s v="14-Aug"/>
        <s v="15-Aug"/>
        <s v="16-Aug"/>
        <s v="17-Aug"/>
        <s v="18-Aug"/>
        <s v="19-Aug"/>
        <s v="20-Aug"/>
        <s v="21-Aug"/>
        <s v="22-Aug"/>
        <s v="23-Aug"/>
        <s v="24-Aug"/>
        <s v="25-Aug"/>
        <s v="26-Aug"/>
        <s v="27-Aug"/>
        <s v="28-Aug"/>
        <s v="29-Aug"/>
        <s v="30-Aug"/>
        <s v="31-Aug"/>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harma" refreshedDate="45780.429446296293" createdVersion="5" refreshedVersion="8" minRefreshableVersion="3" recordCount="0" supportSubquery="1" supportAdvancedDrill="1" xr:uid="{FF74D182-F9A6-431E-84CB-41FF67591C9B}">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harma" refreshedDate="45780.429446759263" createdVersion="5" refreshedVersion="8" minRefreshableVersion="3" recordCount="0" supportSubquery="1" supportAdvancedDrill="1" xr:uid="{1E2FD332-28CD-4F49-8652-D1331CED613B}">
  <cacheSource type="external" connectionId="3"/>
  <cacheFields count="4">
    <cacheField name="[Calender_Table].[Date (Month)].[Date (Month)]" caption="Date (Month)" numFmtId="0" hierarchy="1" level="1">
      <sharedItems containsSemiMixedTypes="0" containsNonDate="0" containsString="0"/>
    </cacheField>
    <cacheField name="[Measures].[Count of Age Group]" caption="Count of Age Group" numFmtId="0" hierarchy="31" level="32767"/>
    <cacheField name="[Hospital Emergency Room Data].[Age Group].[Age Group]" caption="Age Group" numFmtId="0" hierarchy="16" level="1">
      <sharedItems count="8">
        <s v="0-09"/>
        <s v="10-19"/>
        <s v="20-29"/>
        <s v="30-39"/>
        <s v="40-49"/>
        <s v="50-59"/>
        <s v="60-69"/>
        <s v="70-79"/>
      </sharedItems>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harma" refreshedDate="45776.901377083334" createdVersion="3" refreshedVersion="8" minRefreshableVersion="3" recordCount="0" supportSubquery="1" supportAdvancedDrill="1" xr:uid="{4CB47A03-2500-4264-9406-05D7D300734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587916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E9A2BA-9BDE-4367-9028-2BD4B983E58A}" name="PivotTable4" cacheId="68" applyNumberFormats="0" applyBorderFormats="0" applyFontFormats="0" applyPatternFormats="0" applyAlignmentFormats="0" applyWidthHeightFormats="1" dataCaption="Values" tag="a578a981-0d95-47b3-9d82-506502e436ee" updatedVersion="8" minRefreshableVersion="3" subtotalHiddenItems="1" itemPrintTitles="1" createdVersion="5" indent="0" outline="1" outlineData="1" multipleFieldFilters="0" chartFormat="6">
  <location ref="H4:I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30">
      <pivotArea outline="0" collapsedLevelsAreSubtotals="1" fieldPosition="0"/>
    </format>
  </formats>
  <chartFormats count="1">
    <chartFormat chart="5" format="3"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8EB06A-9AA7-464D-BCF8-3FDDE56C4803}" name="PivotTable5" cacheId="71" applyNumberFormats="0" applyBorderFormats="0" applyFontFormats="0" applyPatternFormats="0" applyAlignmentFormats="0" applyWidthHeightFormats="1" dataCaption="Values" tag="a578a981-0d95-47b3-9d82-506502e436ee" updatedVersion="8" minRefreshableVersion="3" subtotalHiddenItems="1" itemPrintTitles="1" createdVersion="5" indent="0" outline="1" outlineData="1" multipleFieldFilters="0" chartFormat="12">
  <location ref="L4:M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2"/>
  </dataFields>
  <formats count="1">
    <format dxfId="31">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0890D3-0D37-4D9B-B553-D0D628662F56}" name="PivotTable10" cacheId="53" applyNumberFormats="0" applyBorderFormats="0" applyFontFormats="0" applyPatternFormats="0" applyAlignmentFormats="0" applyWidthHeightFormats="1" dataCaption="Values" tag="a578a981-0d95-47b3-9d82-506502e436ee" updatedVersion="8" minRefreshableVersion="3" subtotalHiddenItems="1" itemPrintTitles="1" createdVersion="5" indent="0" outline="1" outlineData="1" multipleFieldFilters="0" chartFormat="17">
  <location ref="A72:B7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33">
      <pivotArea outline="0" collapsedLevelsAreSubtotals="1" fieldPosition="0"/>
    </format>
    <format dxfId="32">
      <pivotArea collapsedLevelsAreSubtotals="1" fieldPosition="0">
        <references count="1">
          <reference field="1" count="0"/>
        </references>
      </pivotArea>
    </format>
  </format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0"/>
          </reference>
        </references>
      </pivotArea>
    </chartFormat>
    <chartFormat chart="12"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7DE942-2FEB-4F9C-BA15-26413BF567DC}" name="PivotTable9" cacheId="77" applyNumberFormats="0" applyBorderFormats="0" applyFontFormats="0" applyPatternFormats="0" applyAlignmentFormats="0" applyWidthHeightFormats="1" dataCaption="Values" tag="a578a981-0d95-47b3-9d82-506502e436ee" updatedVersion="8" minRefreshableVersion="3" subtotalHiddenItems="1" itemPrintTitles="1" createdVersion="5" indent="0" outline="1" outlineData="1" multipleFieldFilters="0" chartFormat="9">
  <location ref="A58:B6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2">
    <format dxfId="35">
      <pivotArea outline="0" collapsedLevelsAreSubtotals="1" fieldPosition="0"/>
    </format>
    <format dxfId="34">
      <pivotArea collapsedLevelsAreSubtotals="1" fieldPosition="0">
        <references count="1">
          <reference field="2" count="0"/>
        </references>
      </pivotArea>
    </format>
  </formats>
  <chartFormats count="1">
    <chartFormat chart="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B325B7-4B68-4CE3-AD4E-551405604D1C}" name="PivotTable15" cacheId="59" applyNumberFormats="0" applyBorderFormats="0" applyFontFormats="0" applyPatternFormats="0" applyAlignmentFormats="0" applyWidthHeightFormats="1" dataCaption="Values" tag="a578a981-0d95-47b3-9d82-506502e436ee" updatedVersion="8" minRefreshableVersion="3" subtotalHiddenItems="1" itemPrintTitles="1" createdVersion="5" indent="0" outline="1" outlineData="1" multipleFieldFilters="0" chartFormat="37">
  <location ref="A96:B10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1"/>
    </i>
    <i>
      <x/>
    </i>
    <i>
      <x v="3"/>
    </i>
    <i>
      <x v="6"/>
    </i>
    <i>
      <x v="5"/>
    </i>
    <i>
      <x v="2"/>
    </i>
    <i>
      <x v="4"/>
    </i>
    <i t="grand">
      <x/>
    </i>
  </rowItems>
  <colItems count="1">
    <i/>
  </colItems>
  <dataFields count="1">
    <dataField name="Count of Department Referral" fld="1" subtotal="count" baseField="0" baseItem="0"/>
  </dataFields>
  <formats count="2">
    <format dxfId="37">
      <pivotArea outline="0" collapsedLevelsAreSubtotals="1" fieldPosition="0"/>
    </format>
    <format dxfId="36">
      <pivotArea collapsedLevelsAreSubtotals="1" fieldPosition="0">
        <references count="1">
          <reference field="2" count="0"/>
        </references>
      </pivotArea>
    </format>
  </formats>
  <chartFormats count="1">
    <chartFormat chart="3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3F718C-CCBF-4245-B2CD-D003EB879E86}" name="PivotTable12" cacheId="56" applyNumberFormats="0" applyBorderFormats="0" applyFontFormats="0" applyPatternFormats="0" applyAlignmentFormats="0" applyWidthHeightFormats="1" dataCaption="Values" tag="a578a981-0d95-47b3-9d82-506502e436ee" updatedVersion="8" minRefreshableVersion="3" subtotalHiddenItems="1" itemPrintTitles="1" createdVersion="5" indent="0" outline="1" outlineData="1" multipleFieldFilters="0" chartFormat="25">
  <location ref="A79:B8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2">
    <format dxfId="39">
      <pivotArea outline="0" collapsedLevelsAreSubtotals="1" fieldPosition="0"/>
    </format>
    <format dxfId="38">
      <pivotArea collapsedLevelsAreSubtotals="1" fieldPosition="0">
        <references count="1">
          <reference field="2" count="0"/>
        </references>
      </pivotArea>
    </format>
  </formats>
  <chartFormats count="1">
    <chartFormat chart="23" format="7"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8ECA03-B64B-4B75-9DA2-EEF6A5DB08B7}" name="PivotTable6" cacheId="74" applyNumberFormats="0" applyBorderFormats="0" applyFontFormats="0" applyPatternFormats="0" applyAlignmentFormats="0" applyWidthHeightFormats="1" dataCaption="Values" tag="a578a981-0d95-47b3-9d82-506502e436ee" updatedVersion="8" minRefreshableVersion="3" subtotalHiddenItems="1" itemPrintTitles="1" createdVersion="5" indent="0" outline="1" outlineData="1" multipleFieldFilters="0" chartFormat="3">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4BE3BE-20C6-4829-A764-9A2E1D5E90F9}" name="PivotTable7" cacheId="47" applyNumberFormats="0" applyBorderFormats="0" applyFontFormats="0" applyPatternFormats="0" applyAlignmentFormats="0" applyWidthHeightFormats="1" dataCaption="Values" tag="a578a981-0d95-47b3-9d82-506502e436ee" updatedVersion="8" minRefreshableVersion="3" subtotalHiddenItems="1" itemPrintTitles="1" createdVersion="5" indent="0" outline="1" outlineData="1" multipleFieldFilters="0" chartFormat="25">
  <location ref="A109:A113" firstHeaderRow="1" firstDataRow="1" firstDataCol="1"/>
  <pivotFields count="3">
    <pivotField axis="axisRow" allDrilled="1" subtotalTop="0" showAll="0" dataSourceSort="1" defaultSubtotal="0">
      <items count="1">
        <item s="1" x="0" e="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s="1" x="0"/>
      </items>
    </pivotField>
  </pivotFields>
  <rowFields count="3">
    <field x="2"/>
    <field x="1"/>
    <field x="0"/>
  </rowFields>
  <rowItems count="4">
    <i>
      <x/>
    </i>
    <i r="1">
      <x/>
    </i>
    <i r="2">
      <x/>
    </i>
    <i t="grand">
      <x/>
    </i>
  </rowItems>
  <formats count="1">
    <format dxfId="40">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
    <rowHierarchyUsage hierarchyUsage="4"/>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EDE141-FDCA-4185-9DBA-5BD59FAD0083}" name="PivotTable3" cacheId="65" applyNumberFormats="0" applyBorderFormats="0" applyFontFormats="0" applyPatternFormats="0" applyAlignmentFormats="0" applyWidthHeightFormats="1" dataCaption="Values" tag="a578a981-0d95-47b3-9d82-506502e436ee" updatedVersion="8" minRefreshableVersion="3" subtotalHiddenItems="1" itemPrintTitles="1" createdVersion="5" indent="0" outline="1" outlineData="1" multipleFieldFilters="0" chartFormat="41">
  <location ref="A42:C4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43">
      <pivotArea outline="0" collapsedLevelsAreSubtotals="1" fieldPosition="0"/>
    </format>
    <format dxfId="42">
      <pivotArea collapsedLevelsAreSubtotals="1" fieldPosition="0">
        <references count="1">
          <reference field="2" count="0"/>
        </references>
      </pivotArea>
    </format>
    <format dxfId="41">
      <pivotArea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8343C5-008C-4A72-A9FC-CE5FB376F240}" name="PivotTable1" cacheId="50" applyNumberFormats="0" applyBorderFormats="0" applyFontFormats="0" applyPatternFormats="0" applyAlignmentFormats="0" applyWidthHeightFormats="1" dataCaption="Values" tag="a578a981-0d95-47b3-9d82-506502e436ee"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EC4B81-19B7-4584-8B74-1463B2693211}" name="PivotTable2" cacheId="62" applyNumberFormats="0" applyBorderFormats="0" applyFontFormats="0" applyPatternFormats="0" applyAlignmentFormats="0" applyWidthHeightFormats="1" dataCaption="Values" tag="a578a981-0d95-47b3-9d82-506502e436ee"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4">
      <pivotArea outline="0" collapsedLevelsAreSubtotals="1" fieldPosition="0"/>
    </format>
  </formats>
  <pivotHierarchies count="35">
    <pivotHierarchy dragToData="1"/>
    <pivotHierarchy multipleItemSelectionAllowed="1" dragToData="1">
      <members count="1" level="1">
        <member name="[Calender_Table].[Date (Month)].&amp;[Aug]"/>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AC5862E-899A-4A45-A8C1-D83431A1A086}" sourceName="[Calender_Table].[Date (Month)]">
  <pivotTables>
    <pivotTable tabId="1" name="PivotTable6"/>
    <pivotTable tabId="1" name="PivotTable1"/>
    <pivotTable tabId="1" name="PivotTable2"/>
    <pivotTable tabId="1" name="PivotTable3"/>
    <pivotTable tabId="1" name="PivotTable4"/>
    <pivotTable tabId="1" name="PivotTable5"/>
    <pivotTable tabId="1" name="PivotTable9"/>
    <pivotTable tabId="1" name="PivotTable10"/>
    <pivotTable tabId="1" name="PivotTable12"/>
    <pivotTable tabId="1" name="PivotTable15"/>
    <pivotTable tabId="1" name="PivotTable7"/>
  </pivotTables>
  <data>
    <olap pivotCacheId="1658791682">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DBCFA69-BB1F-42E8-AE06-96FFD9F26832}" sourceName="[Calender_Table].[Date (Year)]">
  <pivotTables>
    <pivotTable tabId="1" name="PivotTable7"/>
    <pivotTable tabId="1" name="PivotTable1"/>
    <pivotTable tabId="1" name="PivotTable10"/>
    <pivotTable tabId="1" name="PivotTable12"/>
    <pivotTable tabId="1" name="PivotTable15"/>
    <pivotTable tabId="1" name="PivotTable2"/>
    <pivotTable tabId="1" name="PivotTable3"/>
    <pivotTable tabId="1" name="PivotTable4"/>
    <pivotTable tabId="1" name="PivotTable5"/>
    <pivotTable tabId="1" name="PivotTable6"/>
    <pivotTable tabId="1" name="PivotTable9"/>
  </pivotTables>
  <data>
    <olap pivotCacheId="165879168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DAD126B-C22A-455C-8947-41AEC5F6927B}" cache="Slicer_Date__Month" caption="Date (Month)" showCaption="0" level="1" style="My Style" rowHeight="180000"/>
  <slicer name="Date (Year)" xr10:uid="{BF8BD84F-7253-4EAB-B496-CE75DED14307}" cache="Slicer_Date__Year" caption="Date (Year)" columnCount="2" showCaption="0" level="1" style="My 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4AE1E-4F75-4291-92AC-6C8A3EEE081C}">
  <dimension ref="A3:M113"/>
  <sheetViews>
    <sheetView workbookViewId="0">
      <selection activeCell="A111" sqref="A111"/>
    </sheetView>
  </sheetViews>
  <sheetFormatPr defaultRowHeight="14.5" x14ac:dyDescent="0.35"/>
  <cols>
    <col min="1" max="1" width="16.81640625" customWidth="1"/>
    <col min="2" max="2" width="13.08984375" customWidth="1"/>
    <col min="4" max="4" width="15.7265625" customWidth="1"/>
    <col min="8" max="8" width="15.90625" customWidth="1"/>
    <col min="12" max="12" width="12.36328125" bestFit="1" customWidth="1"/>
  </cols>
  <sheetData>
    <row r="3" spans="1:13" x14ac:dyDescent="0.35">
      <c r="A3" t="s">
        <v>1</v>
      </c>
      <c r="D3" t="s">
        <v>26</v>
      </c>
      <c r="H3" t="s">
        <v>27</v>
      </c>
      <c r="L3" t="s">
        <v>28</v>
      </c>
    </row>
    <row r="4" spans="1:13" x14ac:dyDescent="0.35">
      <c r="A4" t="s">
        <v>0</v>
      </c>
      <c r="D4" s="3" t="s">
        <v>4</v>
      </c>
      <c r="E4" t="s">
        <v>0</v>
      </c>
      <c r="H4" s="3" t="s">
        <v>4</v>
      </c>
      <c r="I4" t="s">
        <v>2</v>
      </c>
      <c r="L4" s="3" t="s">
        <v>4</v>
      </c>
      <c r="M4" t="s">
        <v>3</v>
      </c>
    </row>
    <row r="5" spans="1:13" x14ac:dyDescent="0.35">
      <c r="A5" s="15">
        <v>530</v>
      </c>
      <c r="D5" s="4" t="s">
        <v>44</v>
      </c>
      <c r="E5" s="15">
        <v>28</v>
      </c>
      <c r="H5" s="4" t="s">
        <v>44</v>
      </c>
      <c r="I5" s="1">
        <v>35.285714285714285</v>
      </c>
      <c r="L5" s="4" t="s">
        <v>44</v>
      </c>
      <c r="M5" s="1">
        <v>4.5</v>
      </c>
    </row>
    <row r="6" spans="1:13" x14ac:dyDescent="0.35">
      <c r="D6" s="4" t="s">
        <v>45</v>
      </c>
      <c r="E6" s="15">
        <v>19</v>
      </c>
      <c r="H6" s="4" t="s">
        <v>45</v>
      </c>
      <c r="I6" s="1">
        <v>31.842105263157894</v>
      </c>
      <c r="L6" s="4" t="s">
        <v>45</v>
      </c>
      <c r="M6" s="1">
        <v>4.666666666666667</v>
      </c>
    </row>
    <row r="7" spans="1:13" x14ac:dyDescent="0.35">
      <c r="D7" s="4" t="s">
        <v>46</v>
      </c>
      <c r="E7" s="15">
        <v>14</v>
      </c>
      <c r="H7" s="4" t="s">
        <v>46</v>
      </c>
      <c r="I7" s="1">
        <v>34.714285714285715</v>
      </c>
      <c r="L7" s="4" t="s">
        <v>46</v>
      </c>
      <c r="M7" s="1">
        <v>7.4</v>
      </c>
    </row>
    <row r="8" spans="1:13" x14ac:dyDescent="0.35">
      <c r="A8" t="s">
        <v>2</v>
      </c>
      <c r="D8" s="4" t="s">
        <v>47</v>
      </c>
      <c r="E8" s="15">
        <v>17</v>
      </c>
      <c r="H8" s="4" t="s">
        <v>47</v>
      </c>
      <c r="I8" s="1">
        <v>42.823529411764703</v>
      </c>
      <c r="L8" s="4" t="s">
        <v>47</v>
      </c>
      <c r="M8" s="1">
        <v>4.5</v>
      </c>
    </row>
    <row r="9" spans="1:13" x14ac:dyDescent="0.35">
      <c r="A9" s="1">
        <v>35.113207547169814</v>
      </c>
      <c r="D9" s="4" t="s">
        <v>48</v>
      </c>
      <c r="E9" s="15">
        <v>19</v>
      </c>
      <c r="H9" s="4" t="s">
        <v>48</v>
      </c>
      <c r="I9" s="1">
        <v>32.157894736842103</v>
      </c>
      <c r="L9" s="4" t="s">
        <v>48</v>
      </c>
      <c r="M9" s="1">
        <v>4.8</v>
      </c>
    </row>
    <row r="10" spans="1:13" x14ac:dyDescent="0.35">
      <c r="D10" s="4" t="s">
        <v>49</v>
      </c>
      <c r="E10" s="15">
        <v>12</v>
      </c>
      <c r="H10" s="4" t="s">
        <v>49</v>
      </c>
      <c r="I10" s="1">
        <v>34.833333333333336</v>
      </c>
      <c r="L10" s="4" t="s">
        <v>49</v>
      </c>
      <c r="M10" s="1">
        <v>4.75</v>
      </c>
    </row>
    <row r="11" spans="1:13" x14ac:dyDescent="0.35">
      <c r="D11" s="4" t="s">
        <v>50</v>
      </c>
      <c r="E11" s="15">
        <v>10</v>
      </c>
      <c r="H11" s="4" t="s">
        <v>50</v>
      </c>
      <c r="I11" s="1">
        <v>33.4</v>
      </c>
      <c r="L11" s="4" t="s">
        <v>51</v>
      </c>
      <c r="M11" s="1">
        <v>2.25</v>
      </c>
    </row>
    <row r="12" spans="1:13" x14ac:dyDescent="0.35">
      <c r="D12" s="4" t="s">
        <v>51</v>
      </c>
      <c r="E12" s="15">
        <v>20</v>
      </c>
      <c r="H12" s="4" t="s">
        <v>51</v>
      </c>
      <c r="I12" s="1">
        <v>28.15</v>
      </c>
      <c r="L12" s="4" t="s">
        <v>52</v>
      </c>
      <c r="M12" s="1">
        <v>4</v>
      </c>
    </row>
    <row r="13" spans="1:13" x14ac:dyDescent="0.35">
      <c r="D13" s="4" t="s">
        <v>52</v>
      </c>
      <c r="E13" s="15">
        <v>12</v>
      </c>
      <c r="H13" s="4" t="s">
        <v>52</v>
      </c>
      <c r="I13" s="1">
        <v>31.333333333333332</v>
      </c>
      <c r="L13" s="4" t="s">
        <v>53</v>
      </c>
      <c r="M13" s="1">
        <v>6.666666666666667</v>
      </c>
    </row>
    <row r="14" spans="1:13" x14ac:dyDescent="0.35">
      <c r="D14" s="4" t="s">
        <v>53</v>
      </c>
      <c r="E14" s="15">
        <v>24</v>
      </c>
      <c r="H14" s="4" t="s">
        <v>53</v>
      </c>
      <c r="I14" s="1">
        <v>37.375</v>
      </c>
      <c r="L14" s="4" t="s">
        <v>54</v>
      </c>
      <c r="M14" s="1">
        <v>2.6666666666666665</v>
      </c>
    </row>
    <row r="15" spans="1:13" x14ac:dyDescent="0.35">
      <c r="D15" s="4" t="s">
        <v>54</v>
      </c>
      <c r="E15" s="15">
        <v>16</v>
      </c>
      <c r="H15" s="4" t="s">
        <v>54</v>
      </c>
      <c r="I15" s="1">
        <v>36.0625</v>
      </c>
      <c r="L15" s="4" t="s">
        <v>55</v>
      </c>
      <c r="M15" s="1">
        <v>3.6666666666666665</v>
      </c>
    </row>
    <row r="16" spans="1:13" x14ac:dyDescent="0.35">
      <c r="D16" s="4" t="s">
        <v>55</v>
      </c>
      <c r="E16" s="15">
        <v>16</v>
      </c>
      <c r="H16" s="4" t="s">
        <v>55</v>
      </c>
      <c r="I16" s="1">
        <v>40.5</v>
      </c>
      <c r="L16" s="4" t="s">
        <v>56</v>
      </c>
      <c r="M16" s="1">
        <v>4</v>
      </c>
    </row>
    <row r="17" spans="4:13" x14ac:dyDescent="0.35">
      <c r="D17" s="4" t="s">
        <v>56</v>
      </c>
      <c r="E17" s="15">
        <v>14</v>
      </c>
      <c r="H17" s="4" t="s">
        <v>56</v>
      </c>
      <c r="I17" s="1">
        <v>39.571428571428569</v>
      </c>
      <c r="L17" s="4" t="s">
        <v>57</v>
      </c>
      <c r="M17" s="1">
        <v>7.5</v>
      </c>
    </row>
    <row r="18" spans="4:13" x14ac:dyDescent="0.35">
      <c r="D18" s="4" t="s">
        <v>57</v>
      </c>
      <c r="E18" s="15">
        <v>12</v>
      </c>
      <c r="H18" s="4" t="s">
        <v>57</v>
      </c>
      <c r="I18" s="1">
        <v>30.25</v>
      </c>
      <c r="L18" s="4" t="s">
        <v>58</v>
      </c>
      <c r="M18" s="1">
        <v>5.5</v>
      </c>
    </row>
    <row r="19" spans="4:13" x14ac:dyDescent="0.35">
      <c r="D19" s="4" t="s">
        <v>58</v>
      </c>
      <c r="E19" s="15">
        <v>18</v>
      </c>
      <c r="H19" s="4" t="s">
        <v>58</v>
      </c>
      <c r="I19" s="1">
        <v>39.722222222222221</v>
      </c>
      <c r="L19" s="4" t="s">
        <v>59</v>
      </c>
      <c r="M19" s="1">
        <v>7.5</v>
      </c>
    </row>
    <row r="20" spans="4:13" x14ac:dyDescent="0.35">
      <c r="D20" s="4" t="s">
        <v>59</v>
      </c>
      <c r="E20" s="15">
        <v>15</v>
      </c>
      <c r="H20" s="4" t="s">
        <v>59</v>
      </c>
      <c r="I20" s="1">
        <v>38.133333333333333</v>
      </c>
      <c r="L20" s="4" t="s">
        <v>60</v>
      </c>
      <c r="M20" s="1">
        <v>5</v>
      </c>
    </row>
    <row r="21" spans="4:13" x14ac:dyDescent="0.35">
      <c r="D21" s="4" t="s">
        <v>60</v>
      </c>
      <c r="E21" s="15">
        <v>25</v>
      </c>
      <c r="H21" s="4" t="s">
        <v>60</v>
      </c>
      <c r="I21" s="1">
        <v>34.08</v>
      </c>
      <c r="L21" s="4" t="s">
        <v>61</v>
      </c>
      <c r="M21" s="1">
        <v>3.5</v>
      </c>
    </row>
    <row r="22" spans="4:13" x14ac:dyDescent="0.35">
      <c r="D22" s="4" t="s">
        <v>61</v>
      </c>
      <c r="E22" s="15">
        <v>15</v>
      </c>
      <c r="H22" s="4" t="s">
        <v>61</v>
      </c>
      <c r="I22" s="1">
        <v>30.066666666666666</v>
      </c>
      <c r="L22" s="4" t="s">
        <v>62</v>
      </c>
      <c r="M22" s="1">
        <v>6.5</v>
      </c>
    </row>
    <row r="23" spans="4:13" x14ac:dyDescent="0.35">
      <c r="D23" s="4" t="s">
        <v>62</v>
      </c>
      <c r="E23" s="15">
        <v>19</v>
      </c>
      <c r="H23" s="4" t="s">
        <v>62</v>
      </c>
      <c r="I23" s="1">
        <v>33.263157894736842</v>
      </c>
      <c r="L23" s="4" t="s">
        <v>63</v>
      </c>
      <c r="M23" s="1">
        <v>5.833333333333333</v>
      </c>
    </row>
    <row r="24" spans="4:13" x14ac:dyDescent="0.35">
      <c r="D24" s="4" t="s">
        <v>63</v>
      </c>
      <c r="E24" s="15">
        <v>23</v>
      </c>
      <c r="H24" s="4" t="s">
        <v>63</v>
      </c>
      <c r="I24" s="1">
        <v>38.565217391304351</v>
      </c>
      <c r="L24" s="4" t="s">
        <v>64</v>
      </c>
      <c r="M24" s="1">
        <v>4.5</v>
      </c>
    </row>
    <row r="25" spans="4:13" x14ac:dyDescent="0.35">
      <c r="D25" s="4" t="s">
        <v>64</v>
      </c>
      <c r="E25" s="15">
        <v>10</v>
      </c>
      <c r="H25" s="4" t="s">
        <v>64</v>
      </c>
      <c r="I25" s="1">
        <v>28.6</v>
      </c>
      <c r="L25" s="4" t="s">
        <v>65</v>
      </c>
      <c r="M25" s="1">
        <v>3.75</v>
      </c>
    </row>
    <row r="26" spans="4:13" x14ac:dyDescent="0.35">
      <c r="D26" s="4" t="s">
        <v>65</v>
      </c>
      <c r="E26" s="15">
        <v>14</v>
      </c>
      <c r="H26" s="4" t="s">
        <v>65</v>
      </c>
      <c r="I26" s="1">
        <v>36.285714285714285</v>
      </c>
      <c r="L26" s="4" t="s">
        <v>66</v>
      </c>
      <c r="M26" s="1">
        <v>10</v>
      </c>
    </row>
    <row r="27" spans="4:13" x14ac:dyDescent="0.35">
      <c r="D27" s="4" t="s">
        <v>66</v>
      </c>
      <c r="E27" s="15">
        <v>16</v>
      </c>
      <c r="H27" s="4" t="s">
        <v>66</v>
      </c>
      <c r="I27" s="1">
        <v>40.375</v>
      </c>
      <c r="L27" s="4" t="s">
        <v>67</v>
      </c>
      <c r="M27" s="1">
        <v>4</v>
      </c>
    </row>
    <row r="28" spans="4:13" x14ac:dyDescent="0.35">
      <c r="D28" s="4" t="s">
        <v>67</v>
      </c>
      <c r="E28" s="15">
        <v>18</v>
      </c>
      <c r="H28" s="4" t="s">
        <v>67</v>
      </c>
      <c r="I28" s="1">
        <v>34.666666666666664</v>
      </c>
      <c r="L28" s="4" t="s">
        <v>68</v>
      </c>
      <c r="M28" s="1">
        <v>8.3333333333333339</v>
      </c>
    </row>
    <row r="29" spans="4:13" x14ac:dyDescent="0.35">
      <c r="D29" s="4" t="s">
        <v>68</v>
      </c>
      <c r="E29" s="15">
        <v>22</v>
      </c>
      <c r="H29" s="4" t="s">
        <v>68</v>
      </c>
      <c r="I29" s="1">
        <v>34.863636363636367</v>
      </c>
      <c r="L29" s="4" t="s">
        <v>69</v>
      </c>
      <c r="M29" s="1">
        <v>3.25</v>
      </c>
    </row>
    <row r="30" spans="4:13" x14ac:dyDescent="0.35">
      <c r="D30" s="4" t="s">
        <v>69</v>
      </c>
      <c r="E30" s="15">
        <v>14</v>
      </c>
      <c r="H30" s="4" t="s">
        <v>69</v>
      </c>
      <c r="I30" s="1">
        <v>30.928571428571427</v>
      </c>
      <c r="L30" s="4" t="s">
        <v>70</v>
      </c>
      <c r="M30" s="1">
        <v>6</v>
      </c>
    </row>
    <row r="31" spans="4:13" x14ac:dyDescent="0.35">
      <c r="D31" s="4" t="s">
        <v>70</v>
      </c>
      <c r="E31" s="15">
        <v>15</v>
      </c>
      <c r="H31" s="4" t="s">
        <v>70</v>
      </c>
      <c r="I31" s="1">
        <v>35.6</v>
      </c>
      <c r="L31" s="4" t="s">
        <v>71</v>
      </c>
      <c r="M31" s="1">
        <v>6</v>
      </c>
    </row>
    <row r="32" spans="4:13" x14ac:dyDescent="0.35">
      <c r="D32" s="4" t="s">
        <v>71</v>
      </c>
      <c r="E32" s="15">
        <v>21</v>
      </c>
      <c r="H32" s="4" t="s">
        <v>71</v>
      </c>
      <c r="I32" s="1">
        <v>34.952380952380949</v>
      </c>
      <c r="L32" s="4" t="s">
        <v>72</v>
      </c>
      <c r="M32" s="1">
        <v>3.3333333333333335</v>
      </c>
    </row>
    <row r="33" spans="1:13" x14ac:dyDescent="0.35">
      <c r="D33" s="4" t="s">
        <v>72</v>
      </c>
      <c r="E33" s="15">
        <v>17</v>
      </c>
      <c r="H33" s="4" t="s">
        <v>72</v>
      </c>
      <c r="I33" s="1">
        <v>34.411764705882355</v>
      </c>
      <c r="L33" s="4" t="s">
        <v>73</v>
      </c>
      <c r="M33" s="1">
        <v>6.666666666666667</v>
      </c>
    </row>
    <row r="34" spans="1:13" x14ac:dyDescent="0.35">
      <c r="D34" s="4" t="s">
        <v>73</v>
      </c>
      <c r="E34" s="15">
        <v>16</v>
      </c>
      <c r="H34" s="4" t="s">
        <v>73</v>
      </c>
      <c r="I34" s="1">
        <v>34</v>
      </c>
      <c r="L34" s="4" t="s">
        <v>74</v>
      </c>
      <c r="M34" s="1">
        <v>5.625</v>
      </c>
    </row>
    <row r="35" spans="1:13" x14ac:dyDescent="0.35">
      <c r="D35" s="4" t="s">
        <v>74</v>
      </c>
      <c r="E35" s="15">
        <v>19</v>
      </c>
      <c r="H35" s="4" t="s">
        <v>74</v>
      </c>
      <c r="I35" s="1">
        <v>36.421052631578945</v>
      </c>
      <c r="L35" s="4" t="s">
        <v>5</v>
      </c>
      <c r="M35" s="1">
        <v>5.1769911504424782</v>
      </c>
    </row>
    <row r="36" spans="1:13" x14ac:dyDescent="0.35">
      <c r="D36" s="4" t="s">
        <v>5</v>
      </c>
      <c r="E36" s="15">
        <v>530</v>
      </c>
      <c r="H36" s="4" t="s">
        <v>5</v>
      </c>
      <c r="I36" s="1">
        <v>35.113207547169814</v>
      </c>
    </row>
    <row r="42" spans="1:13" x14ac:dyDescent="0.35">
      <c r="A42" s="3" t="s">
        <v>4</v>
      </c>
      <c r="B42" t="s">
        <v>29</v>
      </c>
      <c r="C42" t="s">
        <v>30</v>
      </c>
    </row>
    <row r="43" spans="1:13" x14ac:dyDescent="0.35">
      <c r="A43" s="4" t="s">
        <v>7</v>
      </c>
      <c r="B43" s="5">
        <v>242</v>
      </c>
      <c r="C43" s="6">
        <v>0.45660377358490567</v>
      </c>
    </row>
    <row r="44" spans="1:13" x14ac:dyDescent="0.35">
      <c r="A44" s="4" t="s">
        <v>18</v>
      </c>
      <c r="B44" s="5">
        <v>288</v>
      </c>
      <c r="C44" s="6">
        <v>0.54339622641509433</v>
      </c>
    </row>
    <row r="45" spans="1:13" x14ac:dyDescent="0.35">
      <c r="A45" s="4" t="s">
        <v>5</v>
      </c>
      <c r="B45" s="1">
        <v>530</v>
      </c>
      <c r="C45" s="6">
        <v>1</v>
      </c>
    </row>
    <row r="50" spans="1:5" x14ac:dyDescent="0.35">
      <c r="A50" s="10" t="s">
        <v>31</v>
      </c>
      <c r="B50" s="10" t="s">
        <v>1</v>
      </c>
      <c r="C50" s="10" t="s">
        <v>32</v>
      </c>
      <c r="D50" s="9"/>
      <c r="E50" s="7"/>
    </row>
    <row r="51" spans="1:5" x14ac:dyDescent="0.35">
      <c r="A51" s="11" t="str" cm="1">
        <f t="array" ref="A51:C51">A44:C44</f>
        <v>Not Admitted</v>
      </c>
      <c r="B51" s="11">
        <v>288</v>
      </c>
      <c r="C51" s="12">
        <v>0.54339622641509433</v>
      </c>
      <c r="D51" s="11"/>
      <c r="E51" s="11"/>
    </row>
    <row r="52" spans="1:5" x14ac:dyDescent="0.35">
      <c r="A52" s="11" t="str" cm="1">
        <f t="array" ref="A52:C52">A43:C43</f>
        <v>Admitted</v>
      </c>
      <c r="B52" s="11">
        <v>242</v>
      </c>
      <c r="C52" s="12">
        <v>0.45660377358490567</v>
      </c>
      <c r="D52" s="11"/>
      <c r="E52" s="11"/>
    </row>
    <row r="56" spans="1:5" x14ac:dyDescent="0.35">
      <c r="D56" s="8"/>
    </row>
    <row r="57" spans="1:5" x14ac:dyDescent="0.35">
      <c r="A57" t="s">
        <v>36</v>
      </c>
    </row>
    <row r="58" spans="1:5" x14ac:dyDescent="0.35">
      <c r="A58" s="3" t="s">
        <v>4</v>
      </c>
      <c r="B58" t="s">
        <v>33</v>
      </c>
    </row>
    <row r="59" spans="1:5" x14ac:dyDescent="0.35">
      <c r="A59" s="4" t="s">
        <v>12</v>
      </c>
      <c r="B59" s="5">
        <v>63</v>
      </c>
    </row>
    <row r="60" spans="1:5" x14ac:dyDescent="0.35">
      <c r="A60" s="4" t="s">
        <v>13</v>
      </c>
      <c r="B60" s="5">
        <v>63</v>
      </c>
    </row>
    <row r="61" spans="1:5" x14ac:dyDescent="0.35">
      <c r="A61" s="4" t="s">
        <v>15</v>
      </c>
      <c r="B61" s="5">
        <v>65</v>
      </c>
    </row>
    <row r="62" spans="1:5" x14ac:dyDescent="0.35">
      <c r="A62" s="4" t="s">
        <v>8</v>
      </c>
      <c r="B62" s="5">
        <v>60</v>
      </c>
    </row>
    <row r="63" spans="1:5" x14ac:dyDescent="0.35">
      <c r="A63" s="4" t="s">
        <v>16</v>
      </c>
      <c r="B63" s="5">
        <v>65</v>
      </c>
    </row>
    <row r="64" spans="1:5" x14ac:dyDescent="0.35">
      <c r="A64" s="4" t="s">
        <v>10</v>
      </c>
      <c r="B64" s="5">
        <v>72</v>
      </c>
    </row>
    <row r="65" spans="1:2" x14ac:dyDescent="0.35">
      <c r="A65" s="4" t="s">
        <v>14</v>
      </c>
      <c r="B65" s="5">
        <v>73</v>
      </c>
    </row>
    <row r="66" spans="1:2" x14ac:dyDescent="0.35">
      <c r="A66" s="4" t="s">
        <v>17</v>
      </c>
      <c r="B66" s="5">
        <v>69</v>
      </c>
    </row>
    <row r="67" spans="1:2" x14ac:dyDescent="0.35">
      <c r="A67" s="4" t="s">
        <v>5</v>
      </c>
      <c r="B67" s="1">
        <v>530</v>
      </c>
    </row>
    <row r="71" spans="1:2" x14ac:dyDescent="0.35">
      <c r="A71" t="s">
        <v>35</v>
      </c>
    </row>
    <row r="72" spans="1:2" x14ac:dyDescent="0.35">
      <c r="A72" s="3" t="s">
        <v>4</v>
      </c>
      <c r="B72" t="s">
        <v>34</v>
      </c>
    </row>
    <row r="73" spans="1:2" x14ac:dyDescent="0.35">
      <c r="A73" s="4" t="s">
        <v>11</v>
      </c>
      <c r="B73" s="5">
        <v>323</v>
      </c>
    </row>
    <row r="74" spans="1:2" x14ac:dyDescent="0.35">
      <c r="A74" s="4" t="s">
        <v>9</v>
      </c>
      <c r="B74" s="5">
        <v>207</v>
      </c>
    </row>
    <row r="75" spans="1:2" x14ac:dyDescent="0.35">
      <c r="A75" s="4" t="s">
        <v>5</v>
      </c>
      <c r="B75" s="1">
        <v>530</v>
      </c>
    </row>
    <row r="78" spans="1:2" x14ac:dyDescent="0.35">
      <c r="A78" s="4" t="s">
        <v>41</v>
      </c>
    </row>
    <row r="79" spans="1:2" x14ac:dyDescent="0.35">
      <c r="A79" s="3" t="s">
        <v>4</v>
      </c>
      <c r="B79" t="s">
        <v>37</v>
      </c>
    </row>
    <row r="80" spans="1:2" x14ac:dyDescent="0.35">
      <c r="A80" s="4" t="s">
        <v>38</v>
      </c>
      <c r="B80" s="5">
        <v>259</v>
      </c>
    </row>
    <row r="81" spans="1:2" x14ac:dyDescent="0.35">
      <c r="A81" s="4" t="s">
        <v>39</v>
      </c>
      <c r="B81" s="5">
        <v>271</v>
      </c>
    </row>
    <row r="82" spans="1:2" x14ac:dyDescent="0.35">
      <c r="A82" s="4" t="s">
        <v>5</v>
      </c>
      <c r="B82" s="1">
        <v>530</v>
      </c>
    </row>
    <row r="96" spans="1:2" x14ac:dyDescent="0.35">
      <c r="A96" s="3" t="s">
        <v>4</v>
      </c>
      <c r="B96" t="s">
        <v>40</v>
      </c>
    </row>
    <row r="97" spans="1:2" x14ac:dyDescent="0.35">
      <c r="A97" s="4" t="s">
        <v>25</v>
      </c>
      <c r="B97" s="5">
        <v>7</v>
      </c>
    </row>
    <row r="98" spans="1:2" x14ac:dyDescent="0.35">
      <c r="A98" s="4" t="s">
        <v>24</v>
      </c>
      <c r="B98" s="5">
        <v>10</v>
      </c>
    </row>
    <row r="99" spans="1:2" x14ac:dyDescent="0.35">
      <c r="A99" s="4" t="s">
        <v>22</v>
      </c>
      <c r="B99" s="5">
        <v>12</v>
      </c>
    </row>
    <row r="100" spans="1:2" x14ac:dyDescent="0.35">
      <c r="A100" s="4" t="s">
        <v>23</v>
      </c>
      <c r="B100" s="5">
        <v>14</v>
      </c>
    </row>
    <row r="101" spans="1:2" x14ac:dyDescent="0.35">
      <c r="A101" s="4" t="s">
        <v>21</v>
      </c>
      <c r="B101" s="5">
        <v>18</v>
      </c>
    </row>
    <row r="102" spans="1:2" x14ac:dyDescent="0.35">
      <c r="A102" s="4" t="s">
        <v>20</v>
      </c>
      <c r="B102" s="5">
        <v>53</v>
      </c>
    </row>
    <row r="103" spans="1:2" x14ac:dyDescent="0.35">
      <c r="A103" s="4" t="s">
        <v>19</v>
      </c>
      <c r="B103" s="5">
        <v>109</v>
      </c>
    </row>
    <row r="104" spans="1:2" x14ac:dyDescent="0.35">
      <c r="A104" s="4" t="s">
        <v>6</v>
      </c>
      <c r="B104" s="5">
        <v>307</v>
      </c>
    </row>
    <row r="105" spans="1:2" x14ac:dyDescent="0.35">
      <c r="A105" s="4" t="s">
        <v>5</v>
      </c>
      <c r="B105" s="1">
        <v>530</v>
      </c>
    </row>
    <row r="109" spans="1:2" x14ac:dyDescent="0.35">
      <c r="A109" s="3" t="s">
        <v>4</v>
      </c>
    </row>
    <row r="110" spans="1:2" x14ac:dyDescent="0.35">
      <c r="A110" s="4" t="s">
        <v>42</v>
      </c>
    </row>
    <row r="111" spans="1:2" x14ac:dyDescent="0.35">
      <c r="A111" s="13" t="s">
        <v>43</v>
      </c>
    </row>
    <row r="112" spans="1:2" x14ac:dyDescent="0.35">
      <c r="A112" s="14" t="s">
        <v>75</v>
      </c>
    </row>
    <row r="113" spans="1:1" x14ac:dyDescent="0.35">
      <c r="A113" s="4" t="s">
        <v>5</v>
      </c>
    </row>
  </sheetData>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01855-5220-40FA-AC7B-4D9259B89D2B}">
  <dimension ref="A1:M16"/>
  <sheetViews>
    <sheetView tabSelected="1" zoomScale="147" zoomScaleNormal="147" workbookViewId="0">
      <selection activeCell="M7" sqref="M7"/>
    </sheetView>
  </sheetViews>
  <sheetFormatPr defaultRowHeight="14.5" x14ac:dyDescent="0.35"/>
  <sheetData>
    <row r="1" spans="1:13" x14ac:dyDescent="0.35">
      <c r="A1" s="2"/>
      <c r="B1" s="2"/>
      <c r="C1" s="2"/>
      <c r="D1" s="2"/>
      <c r="E1" s="2"/>
      <c r="F1" s="2"/>
      <c r="G1" s="2"/>
      <c r="H1" s="2"/>
      <c r="I1" s="2"/>
      <c r="J1" s="2"/>
      <c r="K1" s="2"/>
      <c r="L1" s="2"/>
      <c r="M1" s="2"/>
    </row>
    <row r="2" spans="1:13" x14ac:dyDescent="0.35">
      <c r="A2" s="2"/>
      <c r="B2" s="2"/>
      <c r="C2" s="2"/>
      <c r="D2" s="2"/>
      <c r="E2" s="2"/>
      <c r="F2" s="2"/>
      <c r="G2" s="2"/>
      <c r="H2" s="2"/>
      <c r="I2" s="2"/>
      <c r="J2" s="2"/>
      <c r="K2" s="2"/>
      <c r="L2" s="2"/>
      <c r="M2" s="2"/>
    </row>
    <row r="3" spans="1:13" x14ac:dyDescent="0.35">
      <c r="A3" s="2"/>
      <c r="B3" s="2"/>
      <c r="C3" s="2"/>
      <c r="D3" s="2"/>
      <c r="E3" s="2"/>
      <c r="F3" s="2"/>
      <c r="G3" s="2"/>
      <c r="H3" s="2"/>
      <c r="I3" s="2"/>
      <c r="J3" s="2"/>
      <c r="K3" s="2"/>
      <c r="L3" s="2"/>
      <c r="M3" s="2"/>
    </row>
    <row r="4" spans="1:13" x14ac:dyDescent="0.35">
      <c r="A4" s="2"/>
      <c r="B4" s="2"/>
      <c r="C4" s="2"/>
      <c r="D4" s="2"/>
      <c r="E4" s="2"/>
      <c r="F4" s="2"/>
      <c r="G4" s="2"/>
      <c r="H4" s="2"/>
      <c r="I4" s="2"/>
      <c r="J4" s="2"/>
      <c r="K4" s="2"/>
      <c r="L4" s="2"/>
      <c r="M4" s="2"/>
    </row>
    <row r="5" spans="1:13" x14ac:dyDescent="0.35">
      <c r="A5" s="2"/>
      <c r="B5" s="2"/>
      <c r="C5" s="2"/>
      <c r="D5" s="2"/>
      <c r="E5" s="2"/>
      <c r="F5" s="2"/>
      <c r="G5" s="2"/>
      <c r="H5" s="2"/>
      <c r="I5" s="2"/>
      <c r="J5" s="2"/>
      <c r="K5" s="2"/>
      <c r="L5" s="2"/>
      <c r="M5" s="2"/>
    </row>
    <row r="6" spans="1:13" x14ac:dyDescent="0.35">
      <c r="A6" s="2"/>
      <c r="B6" s="2"/>
      <c r="C6" s="2"/>
      <c r="D6" s="2"/>
      <c r="E6" s="2"/>
      <c r="F6" s="2"/>
      <c r="G6" s="2"/>
      <c r="H6" s="2"/>
      <c r="I6" s="2"/>
      <c r="J6" s="2"/>
      <c r="K6" s="2"/>
      <c r="L6" s="2"/>
      <c r="M6" s="2"/>
    </row>
    <row r="7" spans="1:13" x14ac:dyDescent="0.35">
      <c r="A7" s="2"/>
      <c r="B7" s="2"/>
      <c r="C7" s="2"/>
      <c r="D7" s="2"/>
      <c r="E7" s="2"/>
      <c r="F7" s="2"/>
      <c r="G7" s="2"/>
      <c r="H7" s="2"/>
      <c r="I7" s="2"/>
      <c r="J7" s="2"/>
      <c r="K7" s="2"/>
      <c r="L7" s="2"/>
      <c r="M7" s="2"/>
    </row>
    <row r="8" spans="1:13" x14ac:dyDescent="0.35">
      <c r="A8" s="2"/>
      <c r="B8" s="2"/>
      <c r="C8" s="2"/>
      <c r="D8" s="2"/>
      <c r="E8" s="2"/>
      <c r="F8" s="2"/>
      <c r="G8" s="2"/>
      <c r="H8" s="2"/>
      <c r="I8" s="2"/>
      <c r="J8" s="2"/>
      <c r="K8" s="2"/>
      <c r="L8" s="2"/>
      <c r="M8" s="2"/>
    </row>
    <row r="9" spans="1:13" x14ac:dyDescent="0.35">
      <c r="A9" s="2"/>
      <c r="B9" s="2"/>
      <c r="C9" s="2"/>
      <c r="D9" s="2"/>
      <c r="E9" s="2"/>
      <c r="F9" s="2"/>
      <c r="G9" s="2"/>
      <c r="H9" s="2"/>
      <c r="I9" s="2"/>
      <c r="J9" s="2"/>
      <c r="K9" s="2"/>
      <c r="L9" s="2"/>
      <c r="M9" s="2"/>
    </row>
    <row r="10" spans="1:13" x14ac:dyDescent="0.35">
      <c r="A10" s="2"/>
      <c r="B10" s="2"/>
      <c r="C10" s="2"/>
      <c r="D10" s="2"/>
      <c r="E10" s="2"/>
      <c r="F10" s="2"/>
      <c r="G10" s="2"/>
      <c r="H10" s="2"/>
      <c r="I10" s="2"/>
      <c r="J10" s="2"/>
      <c r="K10" s="2"/>
      <c r="L10" s="2"/>
      <c r="M10" s="2"/>
    </row>
    <row r="11" spans="1:13" x14ac:dyDescent="0.35">
      <c r="A11" s="2"/>
      <c r="B11" s="2"/>
      <c r="C11" s="2"/>
      <c r="D11" s="2"/>
      <c r="E11" s="2"/>
      <c r="F11" s="2"/>
      <c r="G11" s="2"/>
      <c r="H11" s="2"/>
      <c r="I11" s="2"/>
      <c r="J11" s="2"/>
      <c r="K11" s="2"/>
      <c r="L11" s="2"/>
      <c r="M11" s="2"/>
    </row>
    <row r="12" spans="1:13" x14ac:dyDescent="0.35">
      <c r="A12" s="2"/>
      <c r="B12" s="2"/>
      <c r="C12" s="2"/>
      <c r="D12" s="2"/>
      <c r="E12" s="2"/>
      <c r="F12" s="2"/>
      <c r="G12" s="2"/>
      <c r="H12" s="2"/>
      <c r="I12" s="2"/>
      <c r="J12" s="2"/>
      <c r="K12" s="2"/>
      <c r="L12" s="2"/>
      <c r="M12" s="2"/>
    </row>
    <row r="13" spans="1:13" x14ac:dyDescent="0.35">
      <c r="A13" s="2"/>
      <c r="B13" s="2"/>
      <c r="C13" s="2"/>
      <c r="D13" s="2"/>
      <c r="E13" s="2"/>
      <c r="F13" s="2"/>
      <c r="G13" s="2"/>
      <c r="H13" s="2"/>
      <c r="I13" s="2"/>
      <c r="J13" s="2"/>
      <c r="K13" s="2"/>
      <c r="L13" s="2"/>
      <c r="M13" s="2"/>
    </row>
    <row r="14" spans="1:13" x14ac:dyDescent="0.35">
      <c r="A14" s="2"/>
      <c r="B14" s="2"/>
      <c r="C14" s="2"/>
      <c r="D14" s="2"/>
      <c r="E14" s="2"/>
      <c r="F14" s="2"/>
      <c r="G14" s="2"/>
      <c r="H14" s="2"/>
      <c r="I14" s="2"/>
      <c r="J14" s="2"/>
      <c r="K14" s="2"/>
      <c r="L14" s="2"/>
      <c r="M14" s="2"/>
    </row>
    <row r="15" spans="1:13" x14ac:dyDescent="0.35">
      <c r="A15" s="2"/>
      <c r="B15" s="2"/>
      <c r="C15" s="2"/>
      <c r="D15" s="2"/>
      <c r="E15" s="2"/>
      <c r="F15" s="2"/>
      <c r="G15" s="2"/>
      <c r="H15" s="2"/>
      <c r="I15" s="2"/>
      <c r="J15" s="2"/>
      <c r="K15" s="2"/>
      <c r="L15" s="2"/>
      <c r="M15" s="2"/>
    </row>
    <row r="16" spans="1:13" x14ac:dyDescent="0.35">
      <c r="A16" s="2"/>
      <c r="B16" s="2"/>
      <c r="C16" s="2"/>
      <c r="D16" s="2"/>
      <c r="E16" s="2"/>
      <c r="F16" s="2"/>
      <c r="G16" s="2"/>
      <c r="H16" s="2"/>
      <c r="I16" s="2"/>
      <c r="J16" s="2"/>
      <c r="K16" s="2"/>
      <c r="L16" s="2"/>
      <c r="M16" s="2"/>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Props1.xml><?xml version="1.0" encoding="utf-8"?>
<ds:datastoreItem xmlns:ds="http://schemas.openxmlformats.org/officeDocument/2006/customXml" ds:itemID="{46DBEA9D-307B-44C3-917A-8FFE5B9F9D36}">
  <ds:schemaRefs/>
</ds:datastoreItem>
</file>

<file path=customXml/itemProps2.xml><?xml version="1.0" encoding="utf-8"?>
<ds:datastoreItem xmlns:ds="http://schemas.openxmlformats.org/officeDocument/2006/customXml" ds:itemID="{367C91E2-FA26-4716-B289-E36C8AE3215E}">
  <ds:schemaRefs/>
</ds:datastoreItem>
</file>

<file path=customXml/itemProps3.xml><?xml version="1.0" encoding="utf-8"?>
<ds:datastoreItem xmlns:ds="http://schemas.openxmlformats.org/officeDocument/2006/customXml" ds:itemID="{F458E1A6-F174-413A-92A0-7D3C62AF2FB3}">
  <ds:schemaRefs/>
</ds:datastoreItem>
</file>

<file path=customXml/itemProps4.xml><?xml version="1.0" encoding="utf-8"?>
<ds:datastoreItem xmlns:ds="http://schemas.openxmlformats.org/officeDocument/2006/customXml" ds:itemID="{603C7FE6-DA2D-42F1-985B-8D83C9E22D5A}">
  <ds:schemaRefs/>
</ds:datastoreItem>
</file>

<file path=customXml/itemProps5.xml><?xml version="1.0" encoding="utf-8"?>
<ds:datastoreItem xmlns:ds="http://schemas.openxmlformats.org/officeDocument/2006/customXml" ds:itemID="{5E4B349B-BBC2-42E7-903D-848E025500A2}">
  <ds:schemaRefs/>
</ds:datastoreItem>
</file>

<file path=customXml/itemProps6.xml><?xml version="1.0" encoding="utf-8"?>
<ds:datastoreItem xmlns:ds="http://schemas.openxmlformats.org/officeDocument/2006/customXml" ds:itemID="{67A14345-856A-4405-AF28-9180FC0416E6}">
  <ds:schemaRefs/>
</ds:datastoreItem>
</file>

<file path=customXml/itemProps7.xml><?xml version="1.0" encoding="utf-8"?>
<ds:datastoreItem xmlns:ds="http://schemas.openxmlformats.org/officeDocument/2006/customXml" ds:itemID="{4FAD5250-52CF-4B46-86CB-6F62EF893663}">
  <ds:schemaRefs>
    <ds:schemaRef ds:uri="http://schemas.microsoft.com/DataMashup"/>
  </ds:schemaRefs>
</ds:datastoreItem>
</file>

<file path=customXml/itemProps8.xml><?xml version="1.0" encoding="utf-8"?>
<ds:datastoreItem xmlns:ds="http://schemas.openxmlformats.org/officeDocument/2006/customXml" ds:itemID="{9AE483A3-5B73-45B3-8C64-96F5665EAC0F}">
  <ds:schemaRefs/>
</ds:datastoreItem>
</file>

<file path=customXml/itemProps9.xml><?xml version="1.0" encoding="utf-8"?>
<ds:datastoreItem xmlns:ds="http://schemas.openxmlformats.org/officeDocument/2006/customXml" ds:itemID="{2F11ED7E-B5C9-4404-85BA-E67C81E51D5A}">
  <ds:schemaRefs/>
</ds:datastoreItem>
</file>

<file path=customXml/itemProps10.xml><?xml version="1.0" encoding="utf-8"?>
<ds:datastoreItem xmlns:ds="http://schemas.openxmlformats.org/officeDocument/2006/customXml" ds:itemID="{7D695A0F-D3AF-47AA-80DE-594BACE168A0}">
  <ds:schemaRefs/>
</ds:datastoreItem>
</file>

<file path=customXml/itemProps11.xml><?xml version="1.0" encoding="utf-8"?>
<ds:datastoreItem xmlns:ds="http://schemas.openxmlformats.org/officeDocument/2006/customXml" ds:itemID="{41ED9002-5736-4477-B5CE-F61B5E56CAA2}">
  <ds:schemaRefs/>
</ds:datastoreItem>
</file>

<file path=customXml/itemProps12.xml><?xml version="1.0" encoding="utf-8"?>
<ds:datastoreItem xmlns:ds="http://schemas.openxmlformats.org/officeDocument/2006/customXml" ds:itemID="{598C5649-BD59-439D-9C9D-046924F29E6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Sharma</dc:creator>
  <cp:lastModifiedBy>Sakshi Sharma</cp:lastModifiedBy>
  <dcterms:created xsi:type="dcterms:W3CDTF">2025-03-18T09:59:47Z</dcterms:created>
  <dcterms:modified xsi:type="dcterms:W3CDTF">2025-05-03T04:52:25Z</dcterms:modified>
</cp:coreProperties>
</file>